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ynthesis Matrix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ensing Methods Overview" sheetId="3" state="visible" r:id="rId3"/>
  </sheets>
  <definedNames>
    <definedName name="_xlnm._FilterDatabase" localSheetId="0" hidden="1">'Synthesis Matrix'!$A$2:$AJ$116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8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sz val="9"/>
    </font>
    <font>
      <name val="Arial"/>
      <b val="1"/>
      <sz val="9"/>
    </font>
  </fonts>
  <fills count="48">
    <fill>
      <patternFill/>
    </fill>
    <fill>
      <patternFill patternType="gray125"/>
    </fill>
    <fill>
      <patternFill patternType="solid">
        <fgColor rgb="FF1F3864"/>
        <bgColor rgb="FF2E5594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333300"/>
      </patternFill>
    </fill>
    <fill>
      <patternFill patternType="solid">
        <fgColor rgb="FF843C0C"/>
        <bgColor rgb="FFC0392B"/>
      </patternFill>
    </fill>
    <fill>
      <patternFill patternType="solid">
        <fgColor rgb="FF2E5594"/>
        <bgColor rgb="FF2166AC"/>
      </patternFill>
    </fill>
    <fill>
      <patternFill patternType="solid">
        <fgColor rgb="FF4472C4"/>
        <bgColor rgb="FF2E75B6"/>
      </patternFill>
    </fill>
    <fill>
      <patternFill patternType="solid">
        <fgColor rgb="FF548235"/>
        <bgColor rgb="FF1B7837"/>
      </patternFill>
    </fill>
    <fill>
      <patternFill patternType="solid">
        <fgColor rgb="FFC55A11"/>
        <bgColor rgb="FFD95F02"/>
      </patternFill>
    </fill>
    <fill>
      <patternFill patternType="solid">
        <fgColor rgb="FFD6E4F0"/>
        <bgColor rgb="FFCFE2F3"/>
      </patternFill>
    </fill>
    <fill>
      <patternFill patternType="solid">
        <fgColor rgb="FFD95F02"/>
        <bgColor rgb="FFC55A11"/>
      </patternFill>
    </fill>
    <fill>
      <patternFill patternType="solid">
        <fgColor rgb="FF74C2E1"/>
        <bgColor rgb="FF33CCCC"/>
      </patternFill>
    </fill>
    <fill>
      <patternFill patternType="solid">
        <fgColor rgb="FF00B050"/>
        <bgColor rgb="FF008080"/>
      </patternFill>
    </fill>
    <fill>
      <patternFill patternType="solid">
        <fgColor rgb="FF70AD47"/>
        <bgColor rgb="FF548235"/>
      </patternFill>
    </fill>
    <fill>
      <patternFill patternType="solid">
        <fgColor rgb="FFF3F3F3"/>
        <bgColor rgb="FFFFFFFF"/>
      </patternFill>
    </fill>
    <fill>
      <patternFill patternType="solid">
        <fgColor rgb="FFC0392B"/>
        <bgColor rgb="FFC55A11"/>
      </patternFill>
    </fill>
    <fill>
      <patternFill patternType="solid">
        <fgColor rgb="FFFF7043"/>
        <bgColor rgb="FFD95F02"/>
      </patternFill>
    </fill>
    <fill>
      <patternFill patternType="solid">
        <fgColor rgb="FFBDBDBD"/>
        <bgColor rgb="FFCCCCCC"/>
      </patternFill>
    </fill>
    <fill>
      <patternFill patternType="solid">
        <fgColor rgb="FFFFC000"/>
        <bgColor rgb="FFD4A017"/>
      </patternFill>
    </fill>
    <fill>
      <patternFill patternType="solid">
        <fgColor rgb="FFD5E8D4"/>
        <bgColor rgb="FFE2EFDA"/>
      </patternFill>
    </fill>
    <fill>
      <patternFill patternType="solid">
        <fgColor rgb="FFFFCCCC"/>
        <bgColor rgb="FFEAD1DC"/>
      </patternFill>
    </fill>
    <fill>
      <patternFill patternType="solid">
        <fgColor rgb="FFFFF2CC"/>
        <bgColor rgb="FFFCE4D6"/>
      </patternFill>
    </fill>
    <fill>
      <patternFill patternType="solid">
        <fgColor rgb="FF1B7837"/>
        <bgColor rgb="FF008080"/>
      </patternFill>
    </fill>
    <fill>
      <patternFill patternType="solid">
        <fgColor rgb="FFFCE4D6"/>
        <bgColor rgb="FFFFF2CC"/>
      </patternFill>
    </fill>
    <fill>
      <patternFill patternType="solid">
        <fgColor rgb="FF2166AC"/>
        <bgColor rgb="FF2E75B6"/>
      </patternFill>
    </fill>
    <fill>
      <patternFill patternType="solid">
        <fgColor rgb="FFFF0000"/>
        <bgColor rgb="FFC0392B"/>
      </patternFill>
    </fill>
    <fill>
      <patternFill patternType="solid">
        <fgColor rgb="FFEAD1DC"/>
        <bgColor rgb="FFFFCCCC"/>
      </patternFill>
    </fill>
    <fill>
      <patternFill patternType="solid">
        <fgColor rgb="FFD4A017"/>
        <bgColor rgb="FFFFC000"/>
      </patternFill>
    </fill>
    <fill>
      <patternFill patternType="solid">
        <fgColor rgb="FFCFE2F3"/>
        <bgColor rgb="FFD6E4F0"/>
      </patternFill>
    </fill>
    <fill>
      <patternFill patternType="solid">
        <fgColor rgb="FFE2EFDA"/>
        <bgColor rgb="FFD5E8D4"/>
      </patternFill>
    </fill>
    <fill>
      <patternFill patternType="solid">
        <fgColor rgb="FFFCE4D6"/>
      </patternFill>
    </fill>
    <fill>
      <patternFill patternType="solid">
        <fgColor rgb="FF1B7837"/>
      </patternFill>
    </fill>
    <fill>
      <patternFill patternType="solid">
        <fgColor rgb="FF2166AC"/>
      </patternFill>
    </fill>
    <fill>
      <patternFill patternType="solid">
        <fgColor rgb="FF00B050"/>
      </patternFill>
    </fill>
    <fill>
      <patternFill patternType="solid">
        <fgColor rgb="FFF3F3F3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FF7043"/>
      </patternFill>
    </fill>
    <fill>
      <patternFill patternType="solid">
        <fgColor rgb="FFD6E4F0"/>
      </patternFill>
    </fill>
    <fill>
      <patternFill patternType="solid">
        <fgColor rgb="FFD95F02"/>
      </patternFill>
    </fill>
    <fill>
      <patternFill patternType="solid">
        <fgColor rgb="FF74C2E1"/>
      </patternFill>
    </fill>
    <fill>
      <patternFill patternType="solid">
        <fgColor rgb="FFEAD1DC"/>
      </patternFill>
    </fill>
    <fill>
      <patternFill patternType="solid">
        <fgColor rgb="FFC0392B"/>
      </patternFill>
    </fill>
    <fill>
      <patternFill patternType="solid">
        <fgColor rgb="FFCFE2F3"/>
      </patternFill>
    </fill>
    <fill>
      <patternFill patternType="solid">
        <fgColor rgb="FFBDBDBD"/>
      </patternFill>
    </fill>
    <fill>
      <patternFill patternType="solid">
        <fgColor rgb="FFFF0000"/>
      </patternFill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right" vertical="top" wrapText="1"/>
    </xf>
    <xf numFmtId="0" fontId="6" fillId="10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center" vertical="top" wrapText="1"/>
    </xf>
    <xf numFmtId="0" fontId="8" fillId="12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center" vertical="top" wrapText="1"/>
    </xf>
    <xf numFmtId="0" fontId="7" fillId="14" borderId="1" applyAlignment="1" pivotButton="0" quotePrefix="0" xfId="0">
      <alignment horizontal="center" vertical="top" wrapText="1"/>
    </xf>
    <xf numFmtId="0" fontId="7" fillId="15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7" fillId="16" borderId="1" applyAlignment="1" pivotButton="0" quotePrefix="0" xfId="0">
      <alignment horizontal="center" vertical="top" wrapText="1"/>
    </xf>
    <xf numFmtId="0" fontId="7" fillId="17" borderId="1" applyAlignment="1" pivotButton="0" quotePrefix="0" xfId="0">
      <alignment horizontal="center" vertical="top" wrapText="1"/>
    </xf>
    <xf numFmtId="0" fontId="7" fillId="18" borderId="1" applyAlignment="1" pivotButton="0" quotePrefix="0" xfId="0">
      <alignment horizontal="center" vertical="top" wrapText="1"/>
    </xf>
    <xf numFmtId="0" fontId="6" fillId="15" borderId="1" applyAlignment="1" pivotButton="0" quotePrefix="0" xfId="0">
      <alignment horizontal="right" vertical="top" wrapText="1"/>
    </xf>
    <xf numFmtId="0" fontId="6" fillId="15" borderId="1" applyAlignment="1" pivotButton="0" quotePrefix="0" xfId="0">
      <alignment horizontal="left" vertical="top" wrapText="1"/>
    </xf>
    <xf numFmtId="0" fontId="6" fillId="15" borderId="1" applyAlignment="1" pivotButton="0" quotePrefix="0" xfId="0">
      <alignment horizontal="center" vertical="top" wrapText="1"/>
    </xf>
    <xf numFmtId="0" fontId="8" fillId="19" borderId="1" applyAlignment="1" pivotButton="0" quotePrefix="0" xfId="0">
      <alignment horizontal="center" vertical="top" wrapText="1"/>
    </xf>
    <xf numFmtId="0" fontId="6" fillId="20" borderId="1" applyAlignment="1" pivotButton="0" quotePrefix="0" xfId="0">
      <alignment horizontal="right" vertical="top" wrapText="1"/>
    </xf>
    <xf numFmtId="0" fontId="6" fillId="20" borderId="1" applyAlignment="1" pivotButton="0" quotePrefix="0" xfId="0">
      <alignment horizontal="left" vertical="top" wrapText="1"/>
    </xf>
    <xf numFmtId="0" fontId="6" fillId="20" borderId="1" applyAlignment="1" pivotButton="0" quotePrefix="0" xfId="0">
      <alignment horizontal="center" vertical="top" wrapText="1"/>
    </xf>
    <xf numFmtId="0" fontId="6" fillId="21" borderId="1" applyAlignment="1" pivotButton="0" quotePrefix="0" xfId="0">
      <alignment horizontal="right" vertical="top" wrapText="1"/>
    </xf>
    <xf numFmtId="0" fontId="6" fillId="21" borderId="1" applyAlignment="1" pivotButton="0" quotePrefix="0" xfId="0">
      <alignment horizontal="left" vertical="top" wrapText="1"/>
    </xf>
    <xf numFmtId="0" fontId="6" fillId="21" borderId="1" applyAlignment="1" pivotButton="0" quotePrefix="0" xfId="0">
      <alignment horizontal="center" vertical="top" wrapText="1"/>
    </xf>
    <xf numFmtId="0" fontId="6" fillId="22" borderId="1" applyAlignment="1" pivotButton="0" quotePrefix="0" xfId="0">
      <alignment horizontal="right" vertical="top" wrapText="1"/>
    </xf>
    <xf numFmtId="0" fontId="6" fillId="22" borderId="1" applyAlignment="1" pivotButton="0" quotePrefix="0" xfId="0">
      <alignment horizontal="left" vertical="top" wrapText="1"/>
    </xf>
    <xf numFmtId="0" fontId="6" fillId="22" borderId="1" applyAlignment="1" pivotButton="0" quotePrefix="0" xfId="0">
      <alignment horizontal="center" vertical="top" wrapText="1"/>
    </xf>
    <xf numFmtId="0" fontId="7" fillId="23" borderId="1" applyAlignment="1" pivotButton="0" quotePrefix="0" xfId="0">
      <alignment horizontal="center" vertical="top" wrapText="1"/>
    </xf>
    <xf numFmtId="0" fontId="6" fillId="24" borderId="1" applyAlignment="1" pivotButton="0" quotePrefix="0" xfId="0">
      <alignment horizontal="right" vertical="top" wrapText="1"/>
    </xf>
    <xf numFmtId="0" fontId="6" fillId="24" borderId="1" applyAlignment="1" pivotButton="0" quotePrefix="0" xfId="0">
      <alignment horizontal="left" vertical="top" wrapText="1"/>
    </xf>
    <xf numFmtId="0" fontId="7" fillId="25" borderId="1" applyAlignment="1" pivotButton="0" quotePrefix="0" xfId="0">
      <alignment horizontal="center" vertical="top" wrapText="1"/>
    </xf>
    <xf numFmtId="0" fontId="6" fillId="24" borderId="1" applyAlignment="1" pivotButton="0" quotePrefix="0" xfId="0">
      <alignment horizontal="center" vertical="top" wrapText="1"/>
    </xf>
    <xf numFmtId="0" fontId="7" fillId="26" borderId="1" applyAlignment="1" pivotButton="0" quotePrefix="0" xfId="0">
      <alignment horizontal="center" vertical="top" wrapText="1"/>
    </xf>
    <xf numFmtId="0" fontId="6" fillId="27" borderId="1" applyAlignment="1" pivotButton="0" quotePrefix="0" xfId="0">
      <alignment horizontal="right" vertical="top" wrapText="1"/>
    </xf>
    <xf numFmtId="0" fontId="6" fillId="27" borderId="1" applyAlignment="1" pivotButton="0" quotePrefix="0" xfId="0">
      <alignment horizontal="left" vertical="top" wrapText="1"/>
    </xf>
    <xf numFmtId="0" fontId="6" fillId="27" borderId="1" applyAlignment="1" pivotButton="0" quotePrefix="0" xfId="0">
      <alignment horizontal="center" vertical="top" wrapText="1"/>
    </xf>
    <xf numFmtId="0" fontId="8" fillId="28" borderId="1" applyAlignment="1" pivotButton="0" quotePrefix="0" xfId="0">
      <alignment horizontal="center" vertical="top" wrapText="1"/>
    </xf>
    <xf numFmtId="0" fontId="6" fillId="29" borderId="1" applyAlignment="1" pivotButton="0" quotePrefix="0" xfId="0">
      <alignment horizontal="right" vertical="top" wrapText="1"/>
    </xf>
    <xf numFmtId="0" fontId="6" fillId="29" borderId="1" applyAlignment="1" pivotButton="0" quotePrefix="0" xfId="0">
      <alignment horizontal="left" vertical="top" wrapText="1"/>
    </xf>
    <xf numFmtId="0" fontId="6" fillId="29" borderId="1" applyAlignment="1" pivotButton="0" quotePrefix="0" xfId="0">
      <alignment horizontal="center" vertical="top" wrapText="1"/>
    </xf>
    <xf numFmtId="0" fontId="6" fillId="30" borderId="1" applyAlignment="1" pivotButton="0" quotePrefix="0" xfId="0">
      <alignment horizontal="right" vertical="top" wrapText="1"/>
    </xf>
    <xf numFmtId="0" fontId="6" fillId="30" borderId="1" applyAlignment="1" pivotButton="0" quotePrefix="0" xfId="0">
      <alignment horizontal="left" vertical="top" wrapText="1"/>
    </xf>
    <xf numFmtId="0" fontId="6" fillId="30" borderId="1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10" fillId="20" borderId="1" applyAlignment="1" pivotButton="0" quotePrefix="0" xfId="0">
      <alignment horizontal="general" vertical="bottom"/>
    </xf>
    <xf numFmtId="0" fontId="10" fillId="22" borderId="1" applyAlignment="1" pivotButton="0" quotePrefix="0" xfId="0">
      <alignment horizontal="general" vertical="bottom"/>
    </xf>
    <xf numFmtId="0" fontId="10" fillId="24" borderId="1" applyAlignment="1" pivotButton="0" quotePrefix="0" xfId="0">
      <alignment horizontal="general" vertical="bottom"/>
    </xf>
    <xf numFmtId="0" fontId="10" fillId="30" borderId="1" applyAlignment="1" pivotButton="0" quotePrefix="0" xfId="0">
      <alignment horizontal="general" vertical="bottom"/>
    </xf>
    <xf numFmtId="0" fontId="10" fillId="21" borderId="1" applyAlignment="1" pivotButton="0" quotePrefix="0" xfId="0">
      <alignment horizontal="general" vertical="bottom"/>
    </xf>
    <xf numFmtId="0" fontId="10" fillId="27" borderId="1" applyAlignment="1" pivotButton="0" quotePrefix="0" xfId="0">
      <alignment horizontal="general" vertical="bottom"/>
    </xf>
    <xf numFmtId="0" fontId="10" fillId="29" borderId="1" applyAlignment="1" pivotButton="0" quotePrefix="0" xfId="0">
      <alignment horizontal="general" vertical="bottom"/>
    </xf>
    <xf numFmtId="0" fontId="10" fillId="15" borderId="1" applyAlignment="1" pivotButton="0" quotePrefix="0" xfId="0">
      <alignment horizontal="general" vertical="bottom"/>
    </xf>
    <xf numFmtId="0" fontId="9" fillId="6" borderId="0" applyAlignment="1" pivotButton="0" quotePrefix="0" xfId="0">
      <alignment horizontal="center" vertical="center"/>
    </xf>
    <xf numFmtId="0" fontId="7" fillId="13" borderId="1" applyAlignment="1" pivotButton="0" quotePrefix="0" xfId="0">
      <alignment horizontal="general" vertical="bottom"/>
    </xf>
    <xf numFmtId="0" fontId="7" fillId="19" borderId="1" applyAlignment="1" pivotButton="0" quotePrefix="0" xfId="0">
      <alignment horizontal="general" vertical="bottom"/>
    </xf>
    <xf numFmtId="0" fontId="7" fillId="26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9" fillId="4" borderId="0" applyAlignment="1" pivotButton="0" quotePrefix="0" xfId="0">
      <alignment horizontal="center" vertical="center"/>
    </xf>
    <xf numFmtId="0" fontId="7" fillId="1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7" fillId="17" borderId="1" applyAlignment="1" pivotButton="0" quotePrefix="0" xfId="0">
      <alignment horizontal="general" vertical="bottom"/>
    </xf>
    <xf numFmtId="0" fontId="9" fillId="11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general" vertical="bottom"/>
    </xf>
    <xf numFmtId="0" fontId="7" fillId="23" borderId="1" applyAlignment="1" pivotButton="0" quotePrefix="0" xfId="0">
      <alignment horizontal="general" vertical="bottom"/>
    </xf>
    <xf numFmtId="0" fontId="8" fillId="28" borderId="1" applyAlignment="1" pivotButton="0" quotePrefix="0" xfId="0">
      <alignment horizontal="general" vertical="bottom"/>
    </xf>
    <xf numFmtId="0" fontId="7" fillId="18" borderId="1" applyAlignment="1" pivotButton="0" quotePrefix="0" xfId="0">
      <alignment horizontal="general" vertical="bottom"/>
    </xf>
    <xf numFmtId="0" fontId="9" fillId="16" borderId="0" applyAlignment="1" pivotButton="0" quotePrefix="0" xfId="0">
      <alignment horizontal="center" vertical="center"/>
    </xf>
    <xf numFmtId="0" fontId="7" fillId="16" borderId="1" applyAlignment="1" pivotButton="0" quotePrefix="0" xfId="0">
      <alignment horizontal="general" vertical="bottom"/>
    </xf>
    <xf numFmtId="0" fontId="8" fillId="12" borderId="1" applyAlignment="1" pivotButton="0" quotePrefix="0" xfId="0">
      <alignment horizontal="general" vertical="bottom"/>
    </xf>
    <xf numFmtId="0" fontId="7" fillId="25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left" vertical="center"/>
    </xf>
    <xf numFmtId="0" fontId="6" fillId="22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left" vertical="center"/>
    </xf>
    <xf numFmtId="0" fontId="6" fillId="24" borderId="1" applyAlignment="1" pivotButton="0" quotePrefix="0" xfId="0">
      <alignment horizontal="center" vertical="center"/>
    </xf>
    <xf numFmtId="0" fontId="10" fillId="27" borderId="1" applyAlignment="1" pivotButton="0" quotePrefix="0" xfId="0">
      <alignment horizontal="left" vertical="center"/>
    </xf>
    <xf numFmtId="0" fontId="6" fillId="27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0" fontId="10" fillId="30" borderId="1" applyAlignment="1" pivotButton="0" quotePrefix="0" xfId="0">
      <alignment horizontal="left" vertical="center"/>
    </xf>
    <xf numFmtId="0" fontId="6" fillId="30" borderId="1" applyAlignment="1" pivotButton="0" quotePrefix="0" xfId="0">
      <alignment horizontal="center" vertical="center"/>
    </xf>
    <xf numFmtId="0" fontId="10" fillId="29" borderId="1" applyAlignment="1" pivotButton="0" quotePrefix="0" xfId="0">
      <alignment horizontal="left" vertical="center"/>
    </xf>
    <xf numFmtId="0" fontId="6" fillId="29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right" vertical="top" wrapText="1"/>
    </xf>
    <xf numFmtId="0" fontId="6" fillId="10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center" vertical="top" wrapText="1"/>
    </xf>
    <xf numFmtId="0" fontId="8" fillId="12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center" vertical="top" wrapText="1"/>
    </xf>
    <xf numFmtId="0" fontId="7" fillId="14" borderId="1" applyAlignment="1" pivotButton="0" quotePrefix="0" xfId="0">
      <alignment horizontal="center" vertical="top" wrapText="1"/>
    </xf>
    <xf numFmtId="0" fontId="7" fillId="15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7" fillId="16" borderId="1" applyAlignment="1" pivotButton="0" quotePrefix="0" xfId="0">
      <alignment horizontal="center" vertical="top" wrapText="1"/>
    </xf>
    <xf numFmtId="0" fontId="7" fillId="17" borderId="1" applyAlignment="1" pivotButton="0" quotePrefix="0" xfId="0">
      <alignment horizontal="center" vertical="top" wrapText="1"/>
    </xf>
    <xf numFmtId="0" fontId="7" fillId="18" borderId="1" applyAlignment="1" pivotButton="0" quotePrefix="0" xfId="0">
      <alignment horizontal="center" vertical="top" wrapText="1"/>
    </xf>
    <xf numFmtId="0" fontId="6" fillId="15" borderId="1" applyAlignment="1" pivotButton="0" quotePrefix="0" xfId="0">
      <alignment horizontal="right" vertical="top" wrapText="1"/>
    </xf>
    <xf numFmtId="0" fontId="6" fillId="15" borderId="1" applyAlignment="1" pivotButton="0" quotePrefix="0" xfId="0">
      <alignment horizontal="left" vertical="top" wrapText="1"/>
    </xf>
    <xf numFmtId="0" fontId="6" fillId="15" borderId="1" applyAlignment="1" pivotButton="0" quotePrefix="0" xfId="0">
      <alignment horizontal="center" vertical="top" wrapText="1"/>
    </xf>
    <xf numFmtId="0" fontId="8" fillId="19" borderId="1" applyAlignment="1" pivotButton="0" quotePrefix="0" xfId="0">
      <alignment horizontal="center" vertical="top" wrapText="1"/>
    </xf>
    <xf numFmtId="0" fontId="6" fillId="20" borderId="1" applyAlignment="1" pivotButton="0" quotePrefix="0" xfId="0">
      <alignment horizontal="right" vertical="top" wrapText="1"/>
    </xf>
    <xf numFmtId="0" fontId="6" fillId="20" borderId="1" applyAlignment="1" pivotButton="0" quotePrefix="0" xfId="0">
      <alignment horizontal="left" vertical="top" wrapText="1"/>
    </xf>
    <xf numFmtId="0" fontId="6" fillId="20" borderId="1" applyAlignment="1" pivotButton="0" quotePrefix="0" xfId="0">
      <alignment horizontal="center" vertical="top" wrapText="1"/>
    </xf>
    <xf numFmtId="0" fontId="6" fillId="21" borderId="1" applyAlignment="1" pivotButton="0" quotePrefix="0" xfId="0">
      <alignment horizontal="right" vertical="top" wrapText="1"/>
    </xf>
    <xf numFmtId="0" fontId="6" fillId="21" borderId="1" applyAlignment="1" pivotButton="0" quotePrefix="0" xfId="0">
      <alignment horizontal="left" vertical="top" wrapText="1"/>
    </xf>
    <xf numFmtId="0" fontId="6" fillId="21" borderId="1" applyAlignment="1" pivotButton="0" quotePrefix="0" xfId="0">
      <alignment horizontal="center" vertical="top" wrapText="1"/>
    </xf>
    <xf numFmtId="0" fontId="6" fillId="22" borderId="1" applyAlignment="1" pivotButton="0" quotePrefix="0" xfId="0">
      <alignment horizontal="right" vertical="top" wrapText="1"/>
    </xf>
    <xf numFmtId="0" fontId="6" fillId="22" borderId="1" applyAlignment="1" pivotButton="0" quotePrefix="0" xfId="0">
      <alignment horizontal="left" vertical="top" wrapText="1"/>
    </xf>
    <xf numFmtId="0" fontId="6" fillId="22" borderId="1" applyAlignment="1" pivotButton="0" quotePrefix="0" xfId="0">
      <alignment horizontal="center" vertical="top" wrapText="1"/>
    </xf>
    <xf numFmtId="0" fontId="7" fillId="23" borderId="1" applyAlignment="1" pivotButton="0" quotePrefix="0" xfId="0">
      <alignment horizontal="center" vertical="top" wrapText="1"/>
    </xf>
    <xf numFmtId="0" fontId="6" fillId="24" borderId="1" applyAlignment="1" pivotButton="0" quotePrefix="0" xfId="0">
      <alignment horizontal="right" vertical="top" wrapText="1"/>
    </xf>
    <xf numFmtId="0" fontId="6" fillId="24" borderId="1" applyAlignment="1" pivotButton="0" quotePrefix="0" xfId="0">
      <alignment horizontal="left" vertical="top" wrapText="1"/>
    </xf>
    <xf numFmtId="0" fontId="7" fillId="25" borderId="1" applyAlignment="1" pivotButton="0" quotePrefix="0" xfId="0">
      <alignment horizontal="center" vertical="top" wrapText="1"/>
    </xf>
    <xf numFmtId="0" fontId="6" fillId="24" borderId="1" applyAlignment="1" pivotButton="0" quotePrefix="0" xfId="0">
      <alignment horizontal="center" vertical="top" wrapText="1"/>
    </xf>
    <xf numFmtId="0" fontId="7" fillId="26" borderId="1" applyAlignment="1" pivotButton="0" quotePrefix="0" xfId="0">
      <alignment horizontal="center" vertical="top" wrapText="1"/>
    </xf>
    <xf numFmtId="0" fontId="6" fillId="27" borderId="1" applyAlignment="1" pivotButton="0" quotePrefix="0" xfId="0">
      <alignment horizontal="right" vertical="top" wrapText="1"/>
    </xf>
    <xf numFmtId="0" fontId="6" fillId="27" borderId="1" applyAlignment="1" pivotButton="0" quotePrefix="0" xfId="0">
      <alignment horizontal="left" vertical="top" wrapText="1"/>
    </xf>
    <xf numFmtId="0" fontId="6" fillId="27" borderId="1" applyAlignment="1" pivotButton="0" quotePrefix="0" xfId="0">
      <alignment horizontal="center" vertical="top" wrapText="1"/>
    </xf>
    <xf numFmtId="0" fontId="8" fillId="28" borderId="1" applyAlignment="1" pivotButton="0" quotePrefix="0" xfId="0">
      <alignment horizontal="center" vertical="top" wrapText="1"/>
    </xf>
    <xf numFmtId="0" fontId="6" fillId="29" borderId="1" applyAlignment="1" pivotButton="0" quotePrefix="0" xfId="0">
      <alignment horizontal="right" vertical="top" wrapText="1"/>
    </xf>
    <xf numFmtId="0" fontId="6" fillId="29" borderId="1" applyAlignment="1" pivotButton="0" quotePrefix="0" xfId="0">
      <alignment horizontal="left" vertical="top" wrapText="1"/>
    </xf>
    <xf numFmtId="0" fontId="6" fillId="29" borderId="1" applyAlignment="1" pivotButton="0" quotePrefix="0" xfId="0">
      <alignment horizontal="center" vertical="top" wrapText="1"/>
    </xf>
    <xf numFmtId="0" fontId="6" fillId="30" borderId="1" applyAlignment="1" pivotButton="0" quotePrefix="0" xfId="0">
      <alignment horizontal="right" vertical="top" wrapText="1"/>
    </xf>
    <xf numFmtId="0" fontId="6" fillId="30" borderId="1" applyAlignment="1" pivotButton="0" quotePrefix="0" xfId="0">
      <alignment horizontal="left" vertical="top" wrapText="1"/>
    </xf>
    <xf numFmtId="0" fontId="6" fillId="30" borderId="1" applyAlignment="1" pivotButton="0" quotePrefix="0" xfId="0">
      <alignment horizontal="center" vertical="top" wrapText="1"/>
    </xf>
    <xf numFmtId="0" fontId="11" fillId="31" borderId="2" applyAlignment="1" pivotButton="0" quotePrefix="0" xfId="0">
      <alignment horizontal="right" vertical="top" wrapText="1"/>
    </xf>
    <xf numFmtId="0" fontId="11" fillId="31" borderId="2" applyAlignment="1" pivotButton="0" quotePrefix="0" xfId="0">
      <alignment horizontal="left" vertical="top" wrapText="1"/>
    </xf>
    <xf numFmtId="0" fontId="12" fillId="32" borderId="2" applyAlignment="1" pivotButton="0" quotePrefix="0" xfId="0">
      <alignment horizontal="center" vertical="top" wrapText="1"/>
    </xf>
    <xf numFmtId="0" fontId="12" fillId="33" borderId="2" applyAlignment="1" pivotButton="0" quotePrefix="0" xfId="0">
      <alignment horizontal="center" vertical="top" wrapText="1"/>
    </xf>
    <xf numFmtId="0" fontId="12" fillId="34" borderId="2" applyAlignment="1" pivotButton="0" quotePrefix="0" xfId="0">
      <alignment horizontal="center" vertical="top" wrapText="1"/>
    </xf>
    <xf numFmtId="0" fontId="12" fillId="35" borderId="2" applyAlignment="1" pivotButton="0" quotePrefix="0" xfId="0">
      <alignment horizontal="center" vertical="top" wrapText="1"/>
    </xf>
    <xf numFmtId="0" fontId="12" fillId="36" borderId="2" applyAlignment="1" pivotButton="0" quotePrefix="0" xfId="0">
      <alignment horizontal="center" vertical="top" wrapText="1"/>
    </xf>
    <xf numFmtId="0" fontId="12" fillId="37" borderId="2" applyAlignment="1" pivotButton="0" quotePrefix="0" xfId="0">
      <alignment horizontal="center" vertical="top" wrapText="1"/>
    </xf>
    <xf numFmtId="0" fontId="12" fillId="38" borderId="2" applyAlignment="1" pivotButton="0" quotePrefix="0" xfId="0">
      <alignment horizontal="center" vertical="top" wrapText="1"/>
    </xf>
    <xf numFmtId="0" fontId="11" fillId="39" borderId="2" applyAlignment="1" pivotButton="0" quotePrefix="0" xfId="0">
      <alignment horizontal="right" vertical="top" wrapText="1"/>
    </xf>
    <xf numFmtId="0" fontId="11" fillId="39" borderId="2" applyAlignment="1" pivotButton="0" quotePrefix="0" xfId="0">
      <alignment horizontal="left" vertical="top" wrapText="1"/>
    </xf>
    <xf numFmtId="0" fontId="12" fillId="40" borderId="2" applyAlignment="1" pivotButton="0" quotePrefix="0" xfId="0">
      <alignment horizontal="center" vertical="top" wrapText="1"/>
    </xf>
    <xf numFmtId="0" fontId="12" fillId="41" borderId="2" applyAlignment="1" pivotButton="0" quotePrefix="0" xfId="0">
      <alignment horizontal="center" vertical="top" wrapText="1"/>
    </xf>
    <xf numFmtId="0" fontId="11" fillId="42" borderId="2" applyAlignment="1" pivotButton="0" quotePrefix="0" xfId="0">
      <alignment horizontal="right" vertical="top" wrapText="1"/>
    </xf>
    <xf numFmtId="0" fontId="11" fillId="42" borderId="2" applyAlignment="1" pivotButton="0" quotePrefix="0" xfId="0">
      <alignment horizontal="left" vertical="top" wrapText="1"/>
    </xf>
    <xf numFmtId="0" fontId="12" fillId="43" borderId="2" applyAlignment="1" pivotButton="0" quotePrefix="0" xfId="0">
      <alignment horizontal="center" vertical="top" wrapText="1"/>
    </xf>
    <xf numFmtId="0" fontId="11" fillId="35" borderId="2" applyAlignment="1" pivotButton="0" quotePrefix="0" xfId="0">
      <alignment horizontal="right" vertical="top" wrapText="1"/>
    </xf>
    <xf numFmtId="0" fontId="11" fillId="35" borderId="2" applyAlignment="1" pivotButton="0" quotePrefix="0" xfId="0">
      <alignment horizontal="left" vertical="top" wrapText="1"/>
    </xf>
    <xf numFmtId="0" fontId="11" fillId="44" borderId="2" applyAlignment="1" pivotButton="0" quotePrefix="0" xfId="0">
      <alignment horizontal="right" vertical="top" wrapText="1"/>
    </xf>
    <xf numFmtId="0" fontId="11" fillId="44" borderId="2" applyAlignment="1" pivotButton="0" quotePrefix="0" xfId="0">
      <alignment horizontal="left" vertical="top" wrapText="1"/>
    </xf>
    <xf numFmtId="0" fontId="12" fillId="45" borderId="2" applyAlignment="1" pivotButton="0" quotePrefix="0" xfId="0">
      <alignment horizontal="center" vertical="top" wrapText="1"/>
    </xf>
    <xf numFmtId="0" fontId="12" fillId="46" borderId="2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10" fillId="20" borderId="1" applyAlignment="1" pivotButton="0" quotePrefix="0" xfId="0">
      <alignment horizontal="general" vertical="bottom"/>
    </xf>
    <xf numFmtId="0" fontId="10" fillId="22" borderId="1" applyAlignment="1" pivotButton="0" quotePrefix="0" xfId="0">
      <alignment horizontal="general" vertical="bottom"/>
    </xf>
    <xf numFmtId="0" fontId="10" fillId="24" borderId="1" applyAlignment="1" pivotButton="0" quotePrefix="0" xfId="0">
      <alignment horizontal="general" vertical="bottom"/>
    </xf>
    <xf numFmtId="0" fontId="10" fillId="30" borderId="1" applyAlignment="1" pivotButton="0" quotePrefix="0" xfId="0">
      <alignment horizontal="general" vertical="bottom"/>
    </xf>
    <xf numFmtId="0" fontId="10" fillId="21" borderId="1" applyAlignment="1" pivotButton="0" quotePrefix="0" xfId="0">
      <alignment horizontal="general" vertical="bottom"/>
    </xf>
    <xf numFmtId="0" fontId="10" fillId="27" borderId="1" applyAlignment="1" pivotButton="0" quotePrefix="0" xfId="0">
      <alignment horizontal="general" vertical="bottom"/>
    </xf>
    <xf numFmtId="0" fontId="10" fillId="29" borderId="1" applyAlignment="1" pivotButton="0" quotePrefix="0" xfId="0">
      <alignment horizontal="general" vertical="bottom"/>
    </xf>
    <xf numFmtId="0" fontId="10" fillId="15" borderId="1" applyAlignment="1" pivotButton="0" quotePrefix="0" xfId="0">
      <alignment horizontal="general" vertical="bottom"/>
    </xf>
    <xf numFmtId="0" fontId="9" fillId="6" borderId="0" applyAlignment="1" pivotButton="0" quotePrefix="0" xfId="0">
      <alignment horizontal="center" vertical="center"/>
    </xf>
    <xf numFmtId="0" fontId="7" fillId="13" borderId="1" applyAlignment="1" pivotButton="0" quotePrefix="0" xfId="0">
      <alignment horizontal="general" vertical="bottom"/>
    </xf>
    <xf numFmtId="0" fontId="7" fillId="19" borderId="1" applyAlignment="1" pivotButton="0" quotePrefix="0" xfId="0">
      <alignment horizontal="general" vertical="bottom"/>
    </xf>
    <xf numFmtId="0" fontId="7" fillId="26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9" fillId="4" borderId="0" applyAlignment="1" pivotButton="0" quotePrefix="0" xfId="0">
      <alignment horizontal="center" vertical="center"/>
    </xf>
    <xf numFmtId="0" fontId="7" fillId="1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7" fillId="17" borderId="1" applyAlignment="1" pivotButton="0" quotePrefix="0" xfId="0">
      <alignment horizontal="general" vertical="bottom"/>
    </xf>
    <xf numFmtId="0" fontId="9" fillId="11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general" vertical="bottom"/>
    </xf>
    <xf numFmtId="0" fontId="7" fillId="23" borderId="1" applyAlignment="1" pivotButton="0" quotePrefix="0" xfId="0">
      <alignment horizontal="general" vertical="bottom"/>
    </xf>
    <xf numFmtId="0" fontId="8" fillId="28" borderId="1" applyAlignment="1" pivotButton="0" quotePrefix="0" xfId="0">
      <alignment horizontal="general" vertical="bottom"/>
    </xf>
    <xf numFmtId="0" fontId="7" fillId="18" borderId="1" applyAlignment="1" pivotButton="0" quotePrefix="0" xfId="0">
      <alignment horizontal="general" vertical="bottom"/>
    </xf>
    <xf numFmtId="0" fontId="9" fillId="16" borderId="0" applyAlignment="1" pivotButton="0" quotePrefix="0" xfId="0">
      <alignment horizontal="center" vertical="center"/>
    </xf>
    <xf numFmtId="0" fontId="7" fillId="16" borderId="1" applyAlignment="1" pivotButton="0" quotePrefix="0" xfId="0">
      <alignment horizontal="general" vertical="bottom"/>
    </xf>
    <xf numFmtId="0" fontId="8" fillId="12" borderId="1" applyAlignment="1" pivotButton="0" quotePrefix="0" xfId="0">
      <alignment horizontal="general" vertical="bottom"/>
    </xf>
    <xf numFmtId="0" fontId="7" fillId="25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left" vertical="center"/>
    </xf>
    <xf numFmtId="0" fontId="6" fillId="22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left" vertical="center"/>
    </xf>
    <xf numFmtId="0" fontId="6" fillId="24" borderId="1" applyAlignment="1" pivotButton="0" quotePrefix="0" xfId="0">
      <alignment horizontal="center" vertical="center"/>
    </xf>
    <xf numFmtId="0" fontId="10" fillId="27" borderId="1" applyAlignment="1" pivotButton="0" quotePrefix="0" xfId="0">
      <alignment horizontal="left" vertical="center"/>
    </xf>
    <xf numFmtId="0" fontId="6" fillId="27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0" fontId="10" fillId="30" borderId="1" applyAlignment="1" pivotButton="0" quotePrefix="0" xfId="0">
      <alignment horizontal="left" vertical="center"/>
    </xf>
    <xf numFmtId="0" fontId="6" fillId="30" borderId="1" applyAlignment="1" pivotButton="0" quotePrefix="0" xfId="0">
      <alignment horizontal="center" vertical="center"/>
    </xf>
    <xf numFmtId="0" fontId="10" fillId="29" borderId="1" applyAlignment="1" pivotButton="0" quotePrefix="0" xfId="0">
      <alignment horizontal="left" vertical="center"/>
    </xf>
    <xf numFmtId="0" fontId="6" fillId="29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12" fillId="47" borderId="2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3F3F3"/>
      <rgbColor rgb="FFFF00FF"/>
      <rgbColor rgb="FF00FFFF"/>
      <rgbColor rgb="FF800000"/>
      <rgbColor rgb="FF1B7837"/>
      <rgbColor rgb="FF000080"/>
      <rgbColor rgb="FF548235"/>
      <rgbColor rgb="FF800080"/>
      <rgbColor rgb="FF2E75B6"/>
      <rgbColor rgb="FFBDBDBD"/>
      <rgbColor rgb="FF808080"/>
      <rgbColor rgb="FF9999FF"/>
      <rgbColor rgb="FFC0392B"/>
      <rgbColor rgb="FFFFF2CC"/>
      <rgbColor rgb="FFD6E4F0"/>
      <rgbColor rgb="FF660066"/>
      <rgbColor rgb="FFFF7043"/>
      <rgbColor rgb="FF2166A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E2EFDA"/>
      <rgbColor rgb="FFFCE4D6"/>
      <rgbColor rgb="FF74C2E1"/>
      <rgbColor rgb="FFEAD1DC"/>
      <rgbColor rgb="FFD5E8D4"/>
      <rgbColor rgb="FFFFCCCC"/>
      <rgbColor rgb="FF4472C4"/>
      <rgbColor rgb="FF33CCCC"/>
      <rgbColor rgb="FF99CC00"/>
      <rgbColor rgb="FFFFC000"/>
      <rgbColor rgb="FFD4A017"/>
      <rgbColor rgb="FFD95F02"/>
      <rgbColor rgb="FF666699"/>
      <rgbColor rgb="FF70AD47"/>
      <rgbColor rgb="FF1F3864"/>
      <rgbColor rgb="FF00B050"/>
      <rgbColor rgb="FF003300"/>
      <rgbColor rgb="FF333300"/>
      <rgbColor rgb="FF843C0C"/>
      <rgbColor rgb="FFC55A11"/>
      <rgbColor rgb="FF2E5594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J1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5" customWidth="1" style="108" min="1" max="1"/>
    <col width="22" customWidth="1" style="108" min="2" max="2"/>
    <col width="6" customWidth="1" style="108" min="3" max="3"/>
    <col width="38" customWidth="1" style="108" min="4" max="4"/>
    <col width="20" customWidth="1" style="108" min="5" max="5"/>
    <col width="18" customWidth="1" style="108" min="6" max="6"/>
    <col width="35" customWidth="1" style="108" min="7" max="7"/>
    <col width="20" customWidth="1" style="108" min="8" max="8"/>
    <col width="13" customWidth="1" style="108" min="9" max="10"/>
    <col width="28" customWidth="1" style="108" min="11" max="11"/>
    <col width="14" customWidth="1" style="108" min="12" max="12"/>
    <col width="8" customWidth="1" style="108" min="13" max="13"/>
    <col width="50" customWidth="1" style="108" min="14" max="14"/>
    <col width="5" customWidth="1" style="108" min="15" max="34"/>
  </cols>
  <sheetData>
    <row r="1" ht="15.75" customHeight="1" s="109">
      <c r="A1" s="110" t="inlineStr">
        <is>
          <t>PAPER INFORMATION</t>
        </is>
      </c>
      <c r="Q1" s="111" t="inlineStr">
        <is>
          <t>SENSING METHODS ✓</t>
        </is>
      </c>
      <c r="Z1" s="112" t="inlineStr">
        <is>
          <t>SIGNAL PROCESSING ✓</t>
        </is>
      </c>
      <c r="AF1" s="113" t="inlineStr">
        <is>
          <t>ML / AI ✓</t>
        </is>
      </c>
    </row>
    <row r="2" ht="45" customHeight="1" s="109">
      <c r="A2" s="114" t="inlineStr">
        <is>
          <t>No.</t>
        </is>
      </c>
      <c r="B2" s="114" t="inlineStr">
        <is>
          <t>Authors</t>
        </is>
      </c>
      <c r="C2" s="114" t="inlineStr">
        <is>
          <t>Year</t>
        </is>
      </c>
      <c r="D2" s="114" t="inlineStr">
        <is>
          <t>Title</t>
        </is>
      </c>
      <c r="E2" s="114" t="inlineStr">
        <is>
          <t>Bearing Type</t>
        </is>
      </c>
      <c r="F2" s="114" t="inlineStr">
        <is>
          <t>Lubrication Type</t>
        </is>
      </c>
      <c r="G2" s="114" t="inlineStr">
        <is>
          <t>Physical Phenomena Monitored</t>
        </is>
      </c>
      <c r="H2" s="114" t="inlineStr">
        <is>
          <t>Primary Sensing Category</t>
        </is>
      </c>
      <c r="I2" s="115" t="inlineStr">
        <is>
          <t>Active /
Passive</t>
        </is>
      </c>
      <c r="J2" s="115" t="inlineStr">
        <is>
          <t>Invasive /
Non-Invasive</t>
        </is>
      </c>
      <c r="K2" s="114" t="inlineStr">
        <is>
          <t>Sensing Method Details</t>
        </is>
      </c>
      <c r="L2" s="114" t="inlineStr">
        <is>
          <t>Signal Processing Methods</t>
        </is>
      </c>
      <c r="M2" s="114" t="inlineStr">
        <is>
          <t>ML / AI Methods</t>
        </is>
      </c>
      <c r="N2" s="114" t="inlineStr">
        <is>
          <t>ML/AI Category</t>
        </is>
      </c>
      <c r="O2" s="114" t="inlineStr">
        <is>
          <t>Lubrication
Focus</t>
        </is>
      </c>
      <c r="P2" s="114" t="inlineStr">
        <is>
          <t>Key Contribution</t>
        </is>
      </c>
      <c r="Q2" s="116" t="inlineStr">
        <is>
          <t>US
(Ultrasonic)</t>
        </is>
      </c>
      <c r="R2" s="116" t="inlineStr">
        <is>
          <t>E/C
(Impedance/
Capacit.)</t>
        </is>
      </c>
      <c r="S2" s="116" t="inlineStr">
        <is>
          <t>AE
(Acoustic
Emission)</t>
        </is>
      </c>
      <c r="T2" s="116" t="inlineStr">
        <is>
          <t>VIB
(Vibration)</t>
        </is>
      </c>
      <c r="U2" s="116" t="inlineStr">
        <is>
          <t>OPT
(Optical/
Imaging)</t>
        </is>
      </c>
      <c r="V2" s="116" t="inlineStr">
        <is>
          <t>IR
(Thermal/IR)</t>
        </is>
      </c>
      <c r="W2" s="116" t="inlineStr">
        <is>
          <t>FO
(Fibre
Optic)</t>
        </is>
      </c>
      <c r="X2" s="116" t="inlineStr">
        <is>
          <t>OIL
(Oil/Debris
Analysis)</t>
        </is>
      </c>
      <c r="Y2" s="116" t="inlineStr">
        <is>
          <t>MSR
(Multi-
Sensor)</t>
        </is>
      </c>
      <c r="Z2" s="117" t="inlineStr">
        <is>
          <t>FFT/
Spectral</t>
        </is>
      </c>
      <c r="AA2" s="117" t="inlineStr">
        <is>
          <t>Wavelet/
CWT</t>
        </is>
      </c>
      <c r="AB2" s="117" t="inlineStr">
        <is>
          <t>Envelope/
Demod.</t>
        </is>
      </c>
      <c r="AC2" s="117" t="inlineStr">
        <is>
          <t>Time-
Domain
Stats</t>
        </is>
      </c>
      <c r="AD2" s="117" t="inlineStr">
        <is>
          <t>Mode
Decomp.
(EMD/VMD)</t>
        </is>
      </c>
      <c r="AE2" s="117" t="inlineStr">
        <is>
          <t>Physics
Model</t>
        </is>
      </c>
      <c r="AF2" s="118" t="inlineStr">
        <is>
          <t>Classical
ML</t>
        </is>
      </c>
      <c r="AG2" s="118" t="inlineStr">
        <is>
          <t>CNN</t>
        </is>
      </c>
      <c r="AH2" s="118" t="inlineStr">
        <is>
          <t>LSTM/
RNN</t>
        </is>
      </c>
      <c r="AI2" s="118" t="inlineStr">
        <is>
          <t>Physics-
Informed
NN</t>
        </is>
      </c>
      <c r="AJ2" s="118" t="inlineStr">
        <is>
          <t>Survival/
Progn.</t>
        </is>
      </c>
    </row>
    <row r="3" ht="64.5" customHeight="1" s="109">
      <c r="A3" s="119" t="n">
        <v>1</v>
      </c>
      <c r="B3" s="120" t="inlineStr">
        <is>
          <t>Dwyer-Joyce et al.</t>
        </is>
      </c>
      <c r="C3" s="119" t="n">
        <v>2003</v>
      </c>
      <c r="D3" s="120" t="inlineStr">
        <is>
          <t>The Measurement of Lubricant-Film Thickness Using Ultrasound</t>
        </is>
      </c>
      <c r="E3" s="120" t="inlineStr">
        <is>
          <t>DGBB (general)</t>
        </is>
      </c>
      <c r="F3" s="120" t="inlineStr">
        <is>
          <t>Oil (EHL, Shell T68)</t>
        </is>
      </c>
      <c r="G3" s="120" t="inlineStr">
        <is>
          <t>Film thickness via acoustic reflection; EHL film at rolling contact</t>
        </is>
      </c>
      <c r="H3" s="120" t="inlineStr">
        <is>
          <t>Ultrasonic</t>
        </is>
      </c>
      <c r="I3" s="121" t="inlineStr">
        <is>
          <t>Active</t>
        </is>
      </c>
      <c r="J3" s="122" t="inlineStr">
        <is>
          <t>Semi-Invasive</t>
        </is>
      </c>
      <c r="K3" s="120" t="inlineStr">
        <is>
          <t>Pulse-echo piezoelectric transducer; broadband pulses; reflection coefficient</t>
        </is>
      </c>
      <c r="L3" s="120" t="inlineStr">
        <is>
          <t>ToF analysis; reflection coefficient spectrum; spring model (quasistatic); resonance frequency</t>
        </is>
      </c>
      <c r="M3" s="120" t="inlineStr">
        <is>
          <t>None</t>
        </is>
      </c>
      <c r="N3" s="120" t="inlineStr">
        <is>
          <t>None</t>
        </is>
      </c>
      <c r="O3" s="123" t="inlineStr">
        <is>
          <t>H</t>
        </is>
      </c>
      <c r="P3" s="124" t="inlineStr">
        <is>
          <t>Foundational ultrasonic pulse-echo method for non-invasive film thickness in EHL contacts; spring model relates reflection coefficient to film stiffness.</t>
        </is>
      </c>
      <c r="Q3" s="125" t="inlineStr">
        <is>
          <t>✓</t>
        </is>
      </c>
      <c r="R3" s="126" t="n"/>
      <c r="S3" s="126" t="n"/>
      <c r="T3" s="126" t="n"/>
      <c r="U3" s="126" t="n"/>
      <c r="V3" s="126" t="n"/>
      <c r="W3" s="126" t="n"/>
      <c r="X3" s="126" t="n"/>
      <c r="Y3" s="126" t="n"/>
      <c r="Z3" s="127" t="inlineStr">
        <is>
          <t>✓</t>
        </is>
      </c>
      <c r="AA3" s="126" t="n"/>
      <c r="AB3" s="126" t="n"/>
      <c r="AC3" s="126" t="n"/>
      <c r="AD3" s="126" t="n"/>
      <c r="AE3" s="127" t="inlineStr">
        <is>
          <t>✓</t>
        </is>
      </c>
      <c r="AF3" s="126" t="n"/>
      <c r="AG3" s="126" t="n"/>
      <c r="AH3" s="126" t="n"/>
      <c r="AI3" s="126" t="n"/>
      <c r="AJ3" s="126" t="n"/>
    </row>
    <row r="4" ht="64.5" customHeight="1" s="109">
      <c r="A4" s="119" t="n">
        <v>2</v>
      </c>
      <c r="B4" s="120" t="inlineStr">
        <is>
          <t>Zhang, Drinkwater, Dwyer-Joyce</t>
        </is>
      </c>
      <c r="C4" s="119" t="n">
        <v>2006</v>
      </c>
      <c r="D4" s="120" t="inlineStr">
        <is>
          <t>Acoustic measurement of lubricant-film thickness distribution in ball bearings</t>
        </is>
      </c>
      <c r="E4" s="120" t="inlineStr">
        <is>
          <t>DGBB 6016 (80 mm shaft)</t>
        </is>
      </c>
      <c r="F4" s="120" t="inlineStr">
        <is>
          <t>Oil (EHL, Shell T68)</t>
        </is>
      </c>
      <c r="G4" s="120" t="inlineStr">
        <is>
          <t>Film thickness 2D distribution; central &amp; peripheral thickness; contact ellipse mapping</t>
        </is>
      </c>
      <c r="H4" s="120" t="inlineStr">
        <is>
          <t>Ultrasonic</t>
        </is>
      </c>
      <c r="I4" s="121" t="inlineStr">
        <is>
          <t>Active</t>
        </is>
      </c>
      <c r="J4" s="122" t="inlineStr">
        <is>
          <t>Semi-Invasive</t>
        </is>
      </c>
      <c r="K4" s="120" t="inlineStr">
        <is>
          <t>50 MHz broadband transducer; pulse-echo; outer raceway mounted</t>
        </is>
      </c>
      <c r="L4" s="120" t="inlineStr">
        <is>
          <t>Spring model; reflection coefficient 2D mapping; Hertzian contact pressure model</t>
        </is>
      </c>
      <c r="M4" s="120" t="inlineStr">
        <is>
          <t>None</t>
        </is>
      </c>
      <c r="N4" s="120" t="inlineStr">
        <is>
          <t>None</t>
        </is>
      </c>
      <c r="O4" s="123" t="inlineStr">
        <is>
          <t>H</t>
        </is>
      </c>
      <c r="P4" s="124" t="inlineStr">
        <is>
          <t>First acoustic 2D map of EHL film thickness in a running ball bearing; quantitative agreement with EHD theory for central film thickness.</t>
        </is>
      </c>
      <c r="Q4" s="125" t="inlineStr">
        <is>
          <t>✓</t>
        </is>
      </c>
      <c r="R4" s="126" t="n"/>
      <c r="S4" s="126" t="n"/>
      <c r="T4" s="126" t="n"/>
      <c r="U4" s="126" t="n"/>
      <c r="V4" s="126" t="n"/>
      <c r="W4" s="126" t="n"/>
      <c r="X4" s="126" t="n"/>
      <c r="Y4" s="126" t="n"/>
      <c r="Z4" s="127" t="inlineStr">
        <is>
          <t>✓</t>
        </is>
      </c>
      <c r="AA4" s="126" t="n"/>
      <c r="AB4" s="126" t="n"/>
      <c r="AC4" s="126" t="n"/>
      <c r="AD4" s="126" t="n"/>
      <c r="AE4" s="127" t="inlineStr">
        <is>
          <t>✓</t>
        </is>
      </c>
      <c r="AF4" s="126" t="n"/>
      <c r="AG4" s="126" t="n"/>
      <c r="AH4" s="126" t="n"/>
      <c r="AI4" s="126" t="n"/>
      <c r="AJ4" s="126" t="n"/>
    </row>
    <row r="5" ht="64.5" customHeight="1" s="109">
      <c r="A5" s="119" t="n">
        <v>3</v>
      </c>
      <c r="B5" s="120" t="inlineStr">
        <is>
          <t>Drinkwater et al.</t>
        </is>
      </c>
      <c r="C5" s="119" t="n">
        <v>2009</v>
      </c>
      <c r="D5" s="120" t="inlineStr">
        <is>
          <t>Ultrasonic Measurement of Rolling Bearing Lubrication Using Piezoelectric Thin Films</t>
        </is>
      </c>
      <c r="E5" s="120" t="inlineStr">
        <is>
          <t>DGBB 6016</t>
        </is>
      </c>
      <c r="F5" s="120" t="inlineStr">
        <is>
          <t>Oil (EHL, Shell T68)</t>
        </is>
      </c>
      <c r="G5" s="120" t="inlineStr">
        <is>
          <t>Film thickness; bulk modulus effects; acoustic reflection from lubricant layer</t>
        </is>
      </c>
      <c r="H5" s="120" t="inlineStr">
        <is>
          <t>Ultrasonic</t>
        </is>
      </c>
      <c r="I5" s="121" t="inlineStr">
        <is>
          <t>Active</t>
        </is>
      </c>
      <c r="J5" s="128" t="inlineStr">
        <is>
          <t>Invasive</t>
        </is>
      </c>
      <c r="K5" s="120" t="inlineStr">
        <is>
          <t>AlN piezoelectric thin film (200–400 MHz) deposited on outer raceway; pulse-echo</t>
        </is>
      </c>
      <c r="L5" s="120" t="inlineStr">
        <is>
          <t>Time-domain &amp; freq analysis; reflection coefficient extraction; spring model</t>
        </is>
      </c>
      <c r="M5" s="120" t="inlineStr">
        <is>
          <t>None</t>
        </is>
      </c>
      <c r="N5" s="120" t="inlineStr">
        <is>
          <t>None</t>
        </is>
      </c>
      <c r="O5" s="123" t="inlineStr">
        <is>
          <t>H</t>
        </is>
      </c>
      <c r="P5" s="124" t="inlineStr">
        <is>
          <t>Integrated thin-film piezoelectric transducer on bearing raceway eliminates external lens; enables high-frequency (200 MHz) operation with minimal bearing modification.</t>
        </is>
      </c>
      <c r="Q5" s="125" t="inlineStr">
        <is>
          <t>✓</t>
        </is>
      </c>
      <c r="R5" s="126" t="n"/>
      <c r="S5" s="126" t="n"/>
      <c r="T5" s="126" t="n"/>
      <c r="U5" s="126" t="n"/>
      <c r="V5" s="126" t="n"/>
      <c r="W5" s="126" t="n"/>
      <c r="X5" s="126" t="n"/>
      <c r="Y5" s="126" t="n"/>
      <c r="Z5" s="127" t="inlineStr">
        <is>
          <t>✓</t>
        </is>
      </c>
      <c r="AA5" s="126" t="n"/>
      <c r="AB5" s="126" t="n"/>
      <c r="AC5" s="126" t="n"/>
      <c r="AD5" s="126" t="n"/>
      <c r="AE5" s="127" t="inlineStr">
        <is>
          <t>✓</t>
        </is>
      </c>
      <c r="AF5" s="126" t="n"/>
      <c r="AG5" s="126" t="n"/>
      <c r="AH5" s="126" t="n"/>
      <c r="AI5" s="126" t="n"/>
      <c r="AJ5" s="126" t="n"/>
    </row>
    <row r="6" ht="64.5" customHeight="1" s="109">
      <c r="A6" s="119" t="n">
        <v>4</v>
      </c>
      <c r="B6" s="120" t="inlineStr">
        <is>
          <t>Zhang et al.</t>
        </is>
      </c>
      <c r="C6" s="119" t="n">
        <v>2015</v>
      </c>
      <c r="D6" s="120" t="inlineStr">
        <is>
          <t>Ultrasonic measurement of oil film thickness between the roller and the inner raceway in a roller bearing</t>
        </is>
      </c>
      <c r="E6" s="120" t="inlineStr">
        <is>
          <t>Cylindrical roller bearing</t>
        </is>
      </c>
      <c r="F6" s="120" t="inlineStr">
        <is>
          <t>Oil (ISO VG 68)</t>
        </is>
      </c>
      <c r="G6" s="120" t="inlineStr">
        <is>
          <t>Film thickness; reflection coefficient; EHL pressure distribution</t>
        </is>
      </c>
      <c r="H6" s="120" t="inlineStr">
        <is>
          <t>Ultrasonic</t>
        </is>
      </c>
      <c r="I6" s="121" t="inlineStr">
        <is>
          <t>Active</t>
        </is>
      </c>
      <c r="J6" s="122" t="inlineStr">
        <is>
          <t>Semi-Invasive</t>
        </is>
      </c>
      <c r="K6" s="120" t="inlineStr">
        <is>
          <t>Piezoelectric element 12 MHz; pulse-echo at contact</t>
        </is>
      </c>
      <c r="L6" s="120" t="inlineStr">
        <is>
          <t>FFT frequency-domain; reflection coefficient calculation; ToF waveform analysis</t>
        </is>
      </c>
      <c r="M6" s="120" t="inlineStr">
        <is>
          <t>None</t>
        </is>
      </c>
      <c r="N6" s="120" t="inlineStr">
        <is>
          <t>None</t>
        </is>
      </c>
      <c r="O6" s="123" t="inlineStr">
        <is>
          <t>H</t>
        </is>
      </c>
      <c r="P6" s="124" t="inlineStr">
        <is>
          <t>First successful ultrasonic measurement of oil film thickness in roller-raceway EHL contact; demonstrates feasibility at 0–22 000 rpm.</t>
        </is>
      </c>
      <c r="Q6" s="125" t="inlineStr">
        <is>
          <t>✓</t>
        </is>
      </c>
      <c r="R6" s="126" t="n"/>
      <c r="S6" s="126" t="n"/>
      <c r="T6" s="126" t="n"/>
      <c r="U6" s="126" t="n"/>
      <c r="V6" s="126" t="n"/>
      <c r="W6" s="126" t="n"/>
      <c r="X6" s="126" t="n"/>
      <c r="Y6" s="126" t="n"/>
      <c r="Z6" s="127" t="inlineStr">
        <is>
          <t>✓</t>
        </is>
      </c>
      <c r="AA6" s="126" t="n"/>
      <c r="AB6" s="126" t="n"/>
      <c r="AC6" s="126" t="n"/>
      <c r="AD6" s="126" t="n"/>
      <c r="AE6" s="127" t="inlineStr">
        <is>
          <t>✓</t>
        </is>
      </c>
      <c r="AF6" s="126" t="n"/>
      <c r="AG6" s="126" t="n"/>
      <c r="AH6" s="126" t="n"/>
      <c r="AI6" s="126" t="n"/>
      <c r="AJ6" s="126" t="n"/>
    </row>
    <row r="7" ht="64.5" customHeight="1" s="109">
      <c r="A7" s="119" t="n">
        <v>5</v>
      </c>
      <c r="B7" s="120" t="inlineStr">
        <is>
          <t>Chmeler et al.</t>
        </is>
      </c>
      <c r="C7" s="119" t="n">
        <v>2020</v>
      </c>
      <c r="D7" s="120" t="inlineStr">
        <is>
          <t>Experimental study of lubrication film monitoring in a roller bearing by utilization of surface acoustic waves</t>
        </is>
      </c>
      <c r="E7" s="120" t="inlineStr">
        <is>
          <t>Radial roller bearing N306</t>
        </is>
      </c>
      <c r="F7" s="120" t="inlineStr">
        <is>
          <t>Mineral oil (VG 22/46/100)</t>
        </is>
      </c>
      <c r="G7" s="120" t="inlineStr">
        <is>
          <t>Film thickness; EHL regime identification via SAW amplitude &amp; spectrum</t>
        </is>
      </c>
      <c r="H7" s="120" t="inlineStr">
        <is>
          <t>Ultrasonic (SAW)</t>
        </is>
      </c>
      <c r="I7" s="121" t="inlineStr">
        <is>
          <t>Active</t>
        </is>
      </c>
      <c r="J7" s="122" t="inlineStr">
        <is>
          <t>Semi-Invasive</t>
        </is>
      </c>
      <c r="K7" s="120" t="inlineStr">
        <is>
          <t>Surface Acoustic Waves – Lamb &amp; Rayleigh; piezoelectric transducers on raceway</t>
        </is>
      </c>
      <c r="L7" s="120" t="inlineStr">
        <is>
          <t>FFT; crest factor; entropy analysis; time-domain envelope</t>
        </is>
      </c>
      <c r="M7" s="120" t="inlineStr">
        <is>
          <t>None</t>
        </is>
      </c>
      <c r="N7" s="120" t="inlineStr">
        <is>
          <t>None</t>
        </is>
      </c>
      <c r="O7" s="123" t="inlineStr">
        <is>
          <t>H</t>
        </is>
      </c>
      <c r="P7" s="124" t="inlineStr">
        <is>
          <t>SAW amplitude and spectral entropy detect EHL regime transitions; crest factor correlates with lubrication quality at 500–3000 rpm.</t>
        </is>
      </c>
      <c r="Q7" s="125" t="inlineStr">
        <is>
          <t>✓</t>
        </is>
      </c>
      <c r="R7" s="126" t="n"/>
      <c r="S7" s="126" t="n"/>
      <c r="T7" s="126" t="n"/>
      <c r="U7" s="126" t="n"/>
      <c r="V7" s="126" t="n"/>
      <c r="W7" s="126" t="n"/>
      <c r="X7" s="126" t="n"/>
      <c r="Y7" s="126" t="n"/>
      <c r="Z7" s="127" t="inlineStr">
        <is>
          <t>✓</t>
        </is>
      </c>
      <c r="AA7" s="127" t="inlineStr">
        <is>
          <t>✓</t>
        </is>
      </c>
      <c r="AB7" s="127" t="inlineStr">
        <is>
          <t>✓</t>
        </is>
      </c>
      <c r="AC7" s="126" t="n"/>
      <c r="AD7" s="126" t="n"/>
      <c r="AE7" s="127" t="inlineStr">
        <is>
          <t>✓</t>
        </is>
      </c>
      <c r="AF7" s="126" t="n"/>
      <c r="AG7" s="126" t="n"/>
      <c r="AH7" s="126" t="n"/>
      <c r="AI7" s="126" t="n"/>
      <c r="AJ7" s="126" t="n"/>
    </row>
    <row r="8" ht="64.5" customHeight="1" s="109">
      <c r="A8" s="119" t="n">
        <v>6</v>
      </c>
      <c r="B8" s="120" t="inlineStr">
        <is>
          <t>Lindner et al.</t>
        </is>
      </c>
      <c r="C8" s="119" t="n">
        <v>2011</v>
      </c>
      <c r="D8" s="120" t="inlineStr">
        <is>
          <t>Online bearing lubricant sensing by mode conversion of surface acoustic waves</t>
        </is>
      </c>
      <c r="E8" s="120" t="inlineStr">
        <is>
          <t>Ball/roller bearings</t>
        </is>
      </c>
      <c r="F8" s="120" t="inlineStr">
        <is>
          <t>Oil and grease</t>
        </is>
      </c>
      <c r="G8" s="120" t="inlineStr">
        <is>
          <t>Lubricant amount; viscosity; rolling element motion; cage slip</t>
        </is>
      </c>
      <c r="H8" s="120" t="inlineStr">
        <is>
          <t>Ultrasonic (SAW)</t>
        </is>
      </c>
      <c r="I8" s="121" t="inlineStr">
        <is>
          <t>Active</t>
        </is>
      </c>
      <c r="J8" s="122" t="inlineStr">
        <is>
          <t>Semi-Invasive</t>
        </is>
      </c>
      <c r="K8" s="120" t="inlineStr">
        <is>
          <t>Lamb wave mode conversion via piezoelectric transducers; periodic modulation detection</t>
        </is>
      </c>
      <c r="L8" s="120" t="inlineStr">
        <is>
          <t>Amplitude/transmission time modulation analysis; periodic modulation frequency detection</t>
        </is>
      </c>
      <c r="M8" s="120" t="inlineStr">
        <is>
          <t>None</t>
        </is>
      </c>
      <c r="N8" s="120" t="inlineStr">
        <is>
          <t>None</t>
        </is>
      </c>
      <c r="O8" s="123" t="inlineStr">
        <is>
          <t>H</t>
        </is>
      </c>
      <c r="P8" s="124" t="inlineStr">
        <is>
          <t>SAW mode conversion correlates signal modulation frequency with bearing rotational speed and lubricant amount for online monitoring.</t>
        </is>
      </c>
      <c r="Q8" s="125" t="inlineStr">
        <is>
          <t>✓</t>
        </is>
      </c>
      <c r="R8" s="126" t="n"/>
      <c r="S8" s="126" t="n"/>
      <c r="T8" s="126" t="n"/>
      <c r="U8" s="126" t="n"/>
      <c r="V8" s="126" t="n"/>
      <c r="W8" s="126" t="n"/>
      <c r="X8" s="126" t="n"/>
      <c r="Y8" s="126" t="n"/>
      <c r="Z8" s="127" t="inlineStr">
        <is>
          <t>✓</t>
        </is>
      </c>
      <c r="AA8" s="126" t="n"/>
      <c r="AB8" s="126" t="n"/>
      <c r="AC8" s="127" t="inlineStr">
        <is>
          <t>✓</t>
        </is>
      </c>
      <c r="AD8" s="126" t="n"/>
      <c r="AE8" s="127" t="inlineStr">
        <is>
          <t>✓</t>
        </is>
      </c>
      <c r="AF8" s="126" t="n"/>
      <c r="AG8" s="126" t="n"/>
      <c r="AH8" s="126" t="n"/>
      <c r="AI8" s="126" t="n"/>
      <c r="AJ8" s="126" t="n"/>
    </row>
    <row r="9" ht="64.5" customHeight="1" s="109">
      <c r="A9" s="119" t="n">
        <v>7</v>
      </c>
      <c r="B9" s="120" t="inlineStr">
        <is>
          <t>Chen et al.</t>
        </is>
      </c>
      <c r="C9" s="119" t="n">
        <v>2025</v>
      </c>
      <c r="D9" s="120" t="inlineStr">
        <is>
          <t>A sub-Nyquist sampling and data compression approach for efficient ultrasonic measurement of bearing lubrication</t>
        </is>
      </c>
      <c r="E9" s="120" t="inlineStr">
        <is>
          <t>DGBB 6308</t>
        </is>
      </c>
      <c r="F9" s="120" t="inlineStr">
        <is>
          <t>Oil (5/10/15 mL)</t>
        </is>
      </c>
      <c r="G9" s="120" t="inlineStr">
        <is>
          <t>Film thickness; reflection coefficient; lubrication level discrimination</t>
        </is>
      </c>
      <c r="H9" s="120" t="inlineStr">
        <is>
          <t>Ultrasonic</t>
        </is>
      </c>
      <c r="I9" s="121" t="inlineStr">
        <is>
          <t>Active</t>
        </is>
      </c>
      <c r="J9" s="122" t="inlineStr">
        <is>
          <t>Semi-Invasive</t>
        </is>
      </c>
      <c r="K9" s="120" t="inlineStr">
        <is>
          <t>5 MHz ultrasonic probe; time-of-flight method</t>
        </is>
      </c>
      <c r="L9" s="120" t="inlineStr">
        <is>
          <t>K-SVD dictionary learning; sub-Nyquist random demodulation; OMP sparse reconstruction</t>
        </is>
      </c>
      <c r="M9" s="120" t="inlineStr">
        <is>
          <t>K-SVD dictionary learning; OMP sparse reconstruction</t>
        </is>
      </c>
      <c r="N9" s="120" t="inlineStr">
        <is>
          <t>Classical ML</t>
        </is>
      </c>
      <c r="O9" s="123" t="inlineStr">
        <is>
          <t>H</t>
        </is>
      </c>
      <c r="P9" s="124" t="inlineStr">
        <is>
          <t>Reduces ultrasonic data rate from 640 to 34.85 MB/s (5.4% error) via sub-Nyquist sampling; enables real-time industrial bearing lubrication monitoring.</t>
        </is>
      </c>
      <c r="Q9" s="125" t="inlineStr">
        <is>
          <t>✓</t>
        </is>
      </c>
      <c r="R9" s="126" t="n"/>
      <c r="S9" s="126" t="n"/>
      <c r="T9" s="126" t="n"/>
      <c r="U9" s="126" t="n"/>
      <c r="V9" s="126" t="n"/>
      <c r="W9" s="126" t="n"/>
      <c r="X9" s="126" t="n"/>
      <c r="Y9" s="126" t="n"/>
      <c r="Z9" s="127" t="inlineStr">
        <is>
          <t>✓</t>
        </is>
      </c>
      <c r="AA9" s="126" t="n"/>
      <c r="AB9" s="126" t="n"/>
      <c r="AC9" s="126" t="n"/>
      <c r="AD9" s="126" t="n"/>
      <c r="AE9" s="126" t="n"/>
      <c r="AF9" s="129" t="inlineStr">
        <is>
          <t>✓</t>
        </is>
      </c>
      <c r="AG9" s="126" t="n"/>
      <c r="AH9" s="126" t="n"/>
      <c r="AI9" s="126" t="n"/>
      <c r="AJ9" s="126" t="n"/>
    </row>
    <row r="10" ht="64.5" customHeight="1" s="109">
      <c r="A10" s="119" t="n">
        <v>8</v>
      </c>
      <c r="B10" s="120" t="inlineStr">
        <is>
          <t>Chen et al.</t>
        </is>
      </c>
      <c r="C10" s="119" t="n">
        <v>2023</v>
      </c>
      <c r="D10" s="120" t="inlineStr">
        <is>
          <t>Evaluation of the Running Status of Ball Bearings Using Ultrasonic Signals</t>
        </is>
      </c>
      <c r="E10" s="120" t="inlineStr">
        <is>
          <t>DGBB 6308</t>
        </is>
      </c>
      <c r="F10" s="120" t="inlineStr">
        <is>
          <t>Oil (5/10/15 mL)</t>
        </is>
      </c>
      <c r="G10" s="120" t="inlineStr">
        <is>
          <t>Film distribution; reflection coefficient amplitude; oil volume effect</t>
        </is>
      </c>
      <c r="H10" s="120" t="inlineStr">
        <is>
          <t>Ultrasonic</t>
        </is>
      </c>
      <c r="I10" s="121" t="inlineStr">
        <is>
          <t>Active</t>
        </is>
      </c>
      <c r="J10" s="122" t="inlineStr">
        <is>
          <t>Semi-Invasive</t>
        </is>
      </c>
      <c r="K10" s="120" t="inlineStr">
        <is>
          <t>5 MHz ultrasonic probe; reflection coefficient method</t>
        </is>
      </c>
      <c r="L10" s="120" t="inlineStr">
        <is>
          <t>FFT; amplitude analysis; reflection coefficient calculation</t>
        </is>
      </c>
      <c r="M10" s="120" t="inlineStr">
        <is>
          <t>None</t>
        </is>
      </c>
      <c r="N10" s="120" t="inlineStr">
        <is>
          <t>None</t>
        </is>
      </c>
      <c r="O10" s="123" t="inlineStr">
        <is>
          <t>H</t>
        </is>
      </c>
      <c r="P10" s="124" t="inlineStr">
        <is>
          <t>Ultrasonic reflection coefficient reliably indicates lubrication status across 360–720 rpm and varying oil volumes; enables early fault detection.</t>
        </is>
      </c>
      <c r="Q10" s="125" t="inlineStr">
        <is>
          <t>✓</t>
        </is>
      </c>
      <c r="R10" s="126" t="n"/>
      <c r="S10" s="126" t="n"/>
      <c r="T10" s="126" t="n"/>
      <c r="U10" s="126" t="n"/>
      <c r="V10" s="126" t="n"/>
      <c r="W10" s="126" t="n"/>
      <c r="X10" s="126" t="n"/>
      <c r="Y10" s="126" t="n"/>
      <c r="Z10" s="127" t="inlineStr">
        <is>
          <t>✓</t>
        </is>
      </c>
      <c r="AA10" s="126" t="n"/>
      <c r="AB10" s="126" t="n"/>
      <c r="AC10" s="127" t="inlineStr">
        <is>
          <t>✓</t>
        </is>
      </c>
      <c r="AD10" s="126" t="n"/>
      <c r="AE10" s="126" t="n"/>
      <c r="AF10" s="126" t="n"/>
      <c r="AG10" s="126" t="n"/>
      <c r="AH10" s="126" t="n"/>
      <c r="AI10" s="126" t="n"/>
      <c r="AJ10" s="126" t="n"/>
    </row>
    <row r="11" ht="64.5" customHeight="1" s="109">
      <c r="A11" s="119" t="n">
        <v>9</v>
      </c>
      <c r="B11" s="120" t="inlineStr">
        <is>
          <t>Tatzgern et al.</t>
        </is>
      </c>
      <c r="C11" s="119" t="n">
        <v>2025</v>
      </c>
      <c r="D11" s="120" t="inlineStr">
        <is>
          <t>Tribo-acoustic tachometer: A novel ultrasonic device for the simultaneous operando measurement of grease film thickness and cage rotational speed in rolling element bearings</t>
        </is>
      </c>
      <c r="E11" s="120" t="inlineStr">
        <is>
          <t>Cylindrical roller bearing</t>
        </is>
      </c>
      <c r="F11" s="120" t="inlineStr">
        <is>
          <t>Grease (lithium, 3 types)</t>
        </is>
      </c>
      <c r="G11" s="120" t="inlineStr">
        <is>
          <t>EHL film thickness; cage rotational speed; pressure-induced stiffness</t>
        </is>
      </c>
      <c r="H11" s="120" t="inlineStr">
        <is>
          <t>Ultrasonic</t>
        </is>
      </c>
      <c r="I11" s="121" t="inlineStr">
        <is>
          <t>Active</t>
        </is>
      </c>
      <c r="J11" s="122" t="inlineStr">
        <is>
          <t>Semi-Invasive</t>
        </is>
      </c>
      <c r="K11" s="120" t="inlineStr">
        <is>
          <t>Piezoelectric ultrasonic transducers 10 MHz; synchronised with cage position</t>
        </is>
      </c>
      <c r="L11" s="120" t="inlineStr">
        <is>
          <t>Timing function approach; modulus operator; geometric offset correction</t>
        </is>
      </c>
      <c r="M11" s="120" t="inlineStr">
        <is>
          <t>None</t>
        </is>
      </c>
      <c r="N11" s="120" t="inlineStr">
        <is>
          <t>None</t>
        </is>
      </c>
      <c r="O11" s="123" t="inlineStr">
        <is>
          <t>H</t>
        </is>
      </c>
      <c r="P11" s="124" t="inlineStr">
        <is>
          <t>Novel simultaneous operando measurement of grease film thickness and cage speed without external encoder; accurate reconstruction at 1000–2000 rpm.</t>
        </is>
      </c>
      <c r="Q11" s="125" t="inlineStr">
        <is>
          <t>✓</t>
        </is>
      </c>
      <c r="R11" s="126" t="n"/>
      <c r="S11" s="126" t="n"/>
      <c r="T11" s="126" t="n"/>
      <c r="U11" s="126" t="n"/>
      <c r="V11" s="126" t="n"/>
      <c r="W11" s="126" t="n"/>
      <c r="X11" s="126" t="n"/>
      <c r="Y11" s="126" t="n"/>
      <c r="Z11" s="127" t="inlineStr">
        <is>
          <t>✓</t>
        </is>
      </c>
      <c r="AA11" s="126" t="n"/>
      <c r="AB11" s="126" t="n"/>
      <c r="AC11" s="126" t="n"/>
      <c r="AD11" s="126" t="n"/>
      <c r="AE11" s="127" t="inlineStr">
        <is>
          <t>✓</t>
        </is>
      </c>
      <c r="AF11" s="126" t="n"/>
      <c r="AG11" s="126" t="n"/>
      <c r="AH11" s="126" t="n"/>
      <c r="AI11" s="126" t="n"/>
      <c r="AJ11" s="126" t="n"/>
    </row>
    <row r="12" ht="64.5" customHeight="1" s="109">
      <c r="A12" s="119" t="n">
        <v>10</v>
      </c>
      <c r="B12" s="120" t="inlineStr">
        <is>
          <t>Wang et al.</t>
        </is>
      </c>
      <c r="C12" s="119" t="n">
        <v>2024</v>
      </c>
      <c r="D12" s="120" t="inlineStr">
        <is>
          <t>Accuracy-improved ultrasonic phase algorithm for measuring lubricant film thickness</t>
        </is>
      </c>
      <c r="E12" s="120" t="inlineStr">
        <is>
          <t>Ball bearing (test rig)</t>
        </is>
      </c>
      <c r="F12" s="120" t="inlineStr">
        <is>
          <t>Mineral oil (Shell T68)</t>
        </is>
      </c>
      <c r="G12" s="120" t="inlineStr">
        <is>
          <t>Film thickness via phase; anti-interference filtering for accuracy</t>
        </is>
      </c>
      <c r="H12" s="120" t="inlineStr">
        <is>
          <t>Ultrasonic</t>
        </is>
      </c>
      <c r="I12" s="121" t="inlineStr">
        <is>
          <t>Active</t>
        </is>
      </c>
      <c r="J12" s="122" t="inlineStr">
        <is>
          <t>Semi-Invasive</t>
        </is>
      </c>
      <c r="K12" s="120" t="inlineStr">
        <is>
          <t>Piezoelectric transducer 50–400 MHz; pulse-receiver configuration</t>
        </is>
      </c>
      <c r="L12" s="120" t="inlineStr">
        <is>
          <t>FFT; phase extraction of remaining reflection coefficient; anti-interference filtering</t>
        </is>
      </c>
      <c r="M12" s="120" t="inlineStr">
        <is>
          <t>None</t>
        </is>
      </c>
      <c r="N12" s="120" t="inlineStr">
        <is>
          <t>None</t>
        </is>
      </c>
      <c r="O12" s="123" t="inlineStr">
        <is>
          <t>H</t>
        </is>
      </c>
      <c r="P12" s="124" t="inlineStr">
        <is>
          <t>Phase-based algorithm using remaining reflection coefficient reduces measurement error by 45–6% by isolating oil-layer reflections from total reflected signal.</t>
        </is>
      </c>
      <c r="Q12" s="125" t="inlineStr">
        <is>
          <t>✓</t>
        </is>
      </c>
      <c r="R12" s="126" t="n"/>
      <c r="S12" s="126" t="n"/>
      <c r="T12" s="126" t="n"/>
      <c r="U12" s="126" t="n"/>
      <c r="V12" s="126" t="n"/>
      <c r="W12" s="126" t="n"/>
      <c r="X12" s="126" t="n"/>
      <c r="Y12" s="126" t="n"/>
      <c r="Z12" s="127" t="inlineStr">
        <is>
          <t>✓</t>
        </is>
      </c>
      <c r="AA12" s="126" t="n"/>
      <c r="AB12" s="126" t="n"/>
      <c r="AC12" s="126" t="n"/>
      <c r="AD12" s="126" t="n"/>
      <c r="AE12" s="127" t="inlineStr">
        <is>
          <t>✓</t>
        </is>
      </c>
      <c r="AF12" s="126" t="n"/>
      <c r="AG12" s="126" t="n"/>
      <c r="AH12" s="126" t="n"/>
      <c r="AI12" s="126" t="n"/>
      <c r="AJ12" s="126" t="n"/>
    </row>
    <row r="13" ht="64.5" customHeight="1" s="109">
      <c r="A13" s="119" t="n">
        <v>11</v>
      </c>
      <c r="B13" s="120" t="inlineStr">
        <is>
          <t>Dou et al.</t>
        </is>
      </c>
      <c r="C13" s="119" t="n">
        <v>2022</v>
      </c>
      <c r="D13" s="120" t="inlineStr">
        <is>
          <t>Review of ultrasonic-based technology for oil film thickness measurement in lubrication</t>
        </is>
      </c>
      <c r="E13" s="120" t="inlineStr">
        <is>
          <t>Review (ball, roller, journal, piston bearings)</t>
        </is>
      </c>
      <c r="F13" s="120" t="inlineStr">
        <is>
          <t>Oil (various)</t>
        </is>
      </c>
      <c r="G13" s="120" t="inlineStr">
        <is>
          <t>Film thickness; mixed lubrication regimes; acoustic wave interactions</t>
        </is>
      </c>
      <c r="H13" s="120" t="inlineStr">
        <is>
          <t>Ultrasonic</t>
        </is>
      </c>
      <c r="I13" s="121" t="inlineStr">
        <is>
          <t>Active</t>
        </is>
      </c>
      <c r="J13" s="130" t="inlineStr">
        <is>
          <t>Varies</t>
        </is>
      </c>
      <c r="K13" s="120" t="inlineStr">
        <is>
          <t>Review covers UPR-based sensors, oscilloscope/computer acquisition</t>
        </is>
      </c>
      <c r="L13" s="120" t="inlineStr">
        <is>
          <t>ToF; time-frequency; FFT; resonance method; spring model; phase analysis</t>
        </is>
      </c>
      <c r="M13" s="120" t="inlineStr">
        <is>
          <t>None</t>
        </is>
      </c>
      <c r="N13" s="120" t="inlineStr">
        <is>
          <t>None</t>
        </is>
      </c>
      <c r="O13" s="123" t="inlineStr">
        <is>
          <t>H</t>
        </is>
      </c>
      <c r="P13" s="124" t="inlineStr">
        <is>
          <t>Comprehensive review of ultrasonic models (three-layer, four-layer, mixed lubrication) and signal processing approaches for oil film thickness measurement.</t>
        </is>
      </c>
      <c r="Q13" s="125" t="inlineStr">
        <is>
          <t>✓</t>
        </is>
      </c>
      <c r="R13" s="126" t="n"/>
      <c r="S13" s="126" t="n"/>
      <c r="T13" s="126" t="n"/>
      <c r="U13" s="126" t="n"/>
      <c r="V13" s="126" t="n"/>
      <c r="W13" s="126" t="n"/>
      <c r="X13" s="126" t="n"/>
      <c r="Y13" s="126" t="n"/>
      <c r="Z13" s="127" t="inlineStr">
        <is>
          <t>✓</t>
        </is>
      </c>
      <c r="AA13" s="127" t="inlineStr">
        <is>
          <t>✓</t>
        </is>
      </c>
      <c r="AB13" s="126" t="n"/>
      <c r="AC13" s="126" t="n"/>
      <c r="AD13" s="126" t="n"/>
      <c r="AE13" s="127" t="inlineStr">
        <is>
          <t>✓</t>
        </is>
      </c>
      <c r="AF13" s="126" t="n"/>
      <c r="AG13" s="126" t="n"/>
      <c r="AH13" s="126" t="n"/>
      <c r="AI13" s="126" t="n"/>
      <c r="AJ13" s="126" t="n"/>
    </row>
    <row r="14" ht="64.5" customHeight="1" s="109">
      <c r="A14" s="131" t="n">
        <v>12</v>
      </c>
      <c r="B14" s="132" t="inlineStr">
        <is>
          <t>Shang et al.</t>
        </is>
      </c>
      <c r="C14" s="131" t="n">
        <v>2024</v>
      </c>
      <c r="D14" s="132" t="inlineStr">
        <is>
          <t>A comprehensive review of non-destructive methods for bearing lubricating oil film thickness measurement</t>
        </is>
      </c>
      <c r="E14" s="132" t="inlineStr">
        <is>
          <t>Review (all bearing types)</t>
        </is>
      </c>
      <c r="F14" s="132" t="inlineStr">
        <is>
          <t>Oil (EHL)</t>
        </is>
      </c>
      <c r="G14" s="132" t="inlineStr">
        <is>
          <t>Film thickness; lubrication state; film breakdown</t>
        </is>
      </c>
      <c r="H14" s="132" t="inlineStr">
        <is>
          <t>Ultrasonic / Optical / Electrical</t>
        </is>
      </c>
      <c r="I14" s="121" t="inlineStr">
        <is>
          <t>Active</t>
        </is>
      </c>
      <c r="J14" s="130" t="inlineStr">
        <is>
          <t>Varies</t>
        </is>
      </c>
      <c r="K14" s="132" t="inlineStr">
        <is>
          <t>Optical interference; fibre optic; electrical resistance; capacitance; ultrasonic</t>
        </is>
      </c>
      <c r="L14" s="132" t="inlineStr">
        <is>
          <t>FFT; frequency-domain analysis; high/low-level filtering</t>
        </is>
      </c>
      <c r="M14" s="132" t="inlineStr">
        <is>
          <t>None</t>
        </is>
      </c>
      <c r="N14" s="132" t="inlineStr">
        <is>
          <t>None</t>
        </is>
      </c>
      <c r="O14" s="123" t="inlineStr">
        <is>
          <t>H</t>
        </is>
      </c>
      <c r="P14" s="133" t="inlineStr">
        <is>
          <t>Comprehensive review of optical, electrical, and acoustic non-destructive methods for oil film thickness measurement; compares accuracy and suitability.</t>
        </is>
      </c>
      <c r="Q14" s="125" t="inlineStr">
        <is>
          <t>✓</t>
        </is>
      </c>
      <c r="R14" s="125" t="inlineStr">
        <is>
          <t>✓</t>
        </is>
      </c>
      <c r="S14" s="126" t="n"/>
      <c r="T14" s="126" t="n"/>
      <c r="U14" s="125" t="inlineStr">
        <is>
          <t>✓</t>
        </is>
      </c>
      <c r="V14" s="126" t="n"/>
      <c r="W14" s="126" t="n"/>
      <c r="X14" s="126" t="n"/>
      <c r="Y14" s="126" t="n"/>
      <c r="Z14" s="127" t="inlineStr">
        <is>
          <t>✓</t>
        </is>
      </c>
      <c r="AA14" s="126" t="n"/>
      <c r="AB14" s="126" t="n"/>
      <c r="AC14" s="126" t="n"/>
      <c r="AD14" s="126" t="n"/>
      <c r="AE14" s="127" t="inlineStr">
        <is>
          <t>✓</t>
        </is>
      </c>
      <c r="AF14" s="126" t="n"/>
      <c r="AG14" s="126" t="n"/>
      <c r="AH14" s="126" t="n"/>
      <c r="AI14" s="126" t="n"/>
      <c r="AJ14" s="126" t="n"/>
    </row>
    <row r="15" ht="64.5" customHeight="1" s="109">
      <c r="A15" s="119" t="n">
        <v>13</v>
      </c>
      <c r="B15" s="120" t="inlineStr">
        <is>
          <t>Li et al.</t>
        </is>
      </c>
      <c r="C15" s="119" t="n">
        <v>2025</v>
      </c>
      <c r="D15" s="120" t="inlineStr">
        <is>
          <t>Lubrication film monitoring of the pitch bearing in a wind turbine</t>
        </is>
      </c>
      <c r="E15" s="120" t="inlineStr">
        <is>
          <t>Roller-type pitch bearing (WT)</t>
        </is>
      </c>
      <c r="F15" s="120" t="inlineStr">
        <is>
          <t>Grease/oil (pitch bearing)</t>
        </is>
      </c>
      <c r="G15" s="120" t="inlineStr">
        <is>
          <t>Film thickness in roller-ring contact; echo fluctuations; EHL distribution</t>
        </is>
      </c>
      <c r="H15" s="120" t="inlineStr">
        <is>
          <t>Ultrasonic</t>
        </is>
      </c>
      <c r="I15" s="121" t="inlineStr">
        <is>
          <t>Active</t>
        </is>
      </c>
      <c r="J15" s="122" t="inlineStr">
        <is>
          <t>Semi-Invasive</t>
        </is>
      </c>
      <c r="K15" s="120" t="inlineStr">
        <is>
          <t>USCA method (ultrasonic contact area); piezoelectric transducers</t>
        </is>
      </c>
      <c r="L15" s="120" t="inlineStr">
        <is>
          <t>Modified ray modelling; RC amplitude extraction; EHL theory</t>
        </is>
      </c>
      <c r="M15" s="120" t="inlineStr">
        <is>
          <t>None</t>
        </is>
      </c>
      <c r="N15" s="120" t="inlineStr">
        <is>
          <t>None</t>
        </is>
      </c>
      <c r="O15" s="123" t="inlineStr">
        <is>
          <t>H</t>
        </is>
      </c>
      <c r="P15" s="124" t="inlineStr">
        <is>
          <t>Modified ultrasonic reflection method achieves 30–38% improved accuracy for pitch bearing film measurement using elastohydrodynamic lubrication theory correction.</t>
        </is>
      </c>
      <c r="Q15" s="125" t="inlineStr">
        <is>
          <t>✓</t>
        </is>
      </c>
      <c r="R15" s="126" t="n"/>
      <c r="S15" s="126" t="n"/>
      <c r="T15" s="126" t="n"/>
      <c r="U15" s="126" t="n"/>
      <c r="V15" s="126" t="n"/>
      <c r="W15" s="126" t="n"/>
      <c r="X15" s="126" t="n"/>
      <c r="Y15" s="126" t="n"/>
      <c r="Z15" s="127" t="inlineStr">
        <is>
          <t>✓</t>
        </is>
      </c>
      <c r="AA15" s="126" t="n"/>
      <c r="AB15" s="126" t="n"/>
      <c r="AC15" s="126" t="n"/>
      <c r="AD15" s="126" t="n"/>
      <c r="AE15" s="127" t="inlineStr">
        <is>
          <t>✓</t>
        </is>
      </c>
      <c r="AF15" s="126" t="n"/>
      <c r="AG15" s="126" t="n"/>
      <c r="AH15" s="126" t="n"/>
      <c r="AI15" s="126" t="n"/>
      <c r="AJ15" s="126" t="n"/>
    </row>
    <row r="16" ht="64.5" customHeight="1" s="109">
      <c r="A16" s="119" t="n">
        <v>14</v>
      </c>
      <c r="B16" s="120" t="inlineStr">
        <is>
          <t>Hansen &amp; Johansen</t>
        </is>
      </c>
      <c r="C16" s="119" t="n">
        <v>2022</v>
      </c>
      <c r="D16" s="120" t="inlineStr">
        <is>
          <t>A comparison of adaptive ultrasound reflectometry calibration methods for use in lubrication films</t>
        </is>
      </c>
      <c r="E16" s="120" t="inlineStr">
        <is>
          <t>General (test rig)</t>
        </is>
      </c>
      <c r="F16" s="120" t="inlineStr">
        <is>
          <t>Not specified</t>
        </is>
      </c>
      <c r="G16" s="120" t="inlineStr">
        <is>
          <t>Film thickness variation; calibration accuracy for ultrasound reflectometry</t>
        </is>
      </c>
      <c r="H16" s="120" t="inlineStr">
        <is>
          <t>Ultrasonic</t>
        </is>
      </c>
      <c r="I16" s="121" t="inlineStr">
        <is>
          <t>Active</t>
        </is>
      </c>
      <c r="J16" s="122" t="inlineStr">
        <is>
          <t>Semi-Invasive</t>
        </is>
      </c>
      <c r="K16" s="120" t="inlineStr">
        <is>
          <t>Ultrasound reflectometry pulse-echo</t>
        </is>
      </c>
      <c r="L16" s="120" t="inlineStr">
        <is>
          <t>Curve fitting; extended Kalman filter; resonance frequency detection</t>
        </is>
      </c>
      <c r="M16" s="120" t="inlineStr">
        <is>
          <t>None</t>
        </is>
      </c>
      <c r="N16" s="120" t="inlineStr">
        <is>
          <t>None</t>
        </is>
      </c>
      <c r="O16" s="134" t="inlineStr">
        <is>
          <t>M</t>
        </is>
      </c>
      <c r="P16" s="124" t="inlineStr">
        <is>
          <t>Comparison of three adaptive calibration methods for ultrasound reflectometry; extended Kalman filter provides continuous calibration in varying film thickness conditions.</t>
        </is>
      </c>
      <c r="Q16" s="125" t="inlineStr">
        <is>
          <t>✓</t>
        </is>
      </c>
      <c r="R16" s="126" t="n"/>
      <c r="S16" s="126" t="n"/>
      <c r="T16" s="126" t="n"/>
      <c r="U16" s="126" t="n"/>
      <c r="V16" s="126" t="n"/>
      <c r="W16" s="126" t="n"/>
      <c r="X16" s="126" t="n"/>
      <c r="Y16" s="126" t="n"/>
      <c r="Z16" s="127" t="inlineStr">
        <is>
          <t>✓</t>
        </is>
      </c>
      <c r="AA16" s="126" t="n"/>
      <c r="AB16" s="126" t="n"/>
      <c r="AC16" s="126" t="n"/>
      <c r="AD16" s="126" t="n"/>
      <c r="AE16" s="127" t="inlineStr">
        <is>
          <t>✓</t>
        </is>
      </c>
      <c r="AF16" s="126" t="n"/>
      <c r="AG16" s="126" t="n"/>
      <c r="AH16" s="126" t="n"/>
      <c r="AI16" s="126" t="n"/>
      <c r="AJ16" s="126" t="n"/>
    </row>
    <row r="17" ht="64.5" customHeight="1" s="109">
      <c r="A17" s="119" t="n">
        <v>15</v>
      </c>
      <c r="B17" s="120" t="inlineStr">
        <is>
          <t>Liang et al.</t>
        </is>
      </c>
      <c r="C17" s="119" t="n">
        <v>2025</v>
      </c>
      <c r="D17" s="120" t="inlineStr">
        <is>
          <t>Real-time measurement of dynamic film thickness via ultrasonic technology</t>
        </is>
      </c>
      <c r="E17" s="120" t="inlineStr">
        <is>
          <t>Ball and roller bearings</t>
        </is>
      </c>
      <c r="F17" s="120" t="inlineStr">
        <is>
          <t>Oil (various friction pairs)</t>
        </is>
      </c>
      <c r="G17" s="120" t="inlineStr">
        <is>
          <t>Dynamic film thickness; reflection coefficient amplitude; phase shift</t>
        </is>
      </c>
      <c r="H17" s="120" t="inlineStr">
        <is>
          <t>Ultrasonic</t>
        </is>
      </c>
      <c r="I17" s="121" t="inlineStr">
        <is>
          <t>Active</t>
        </is>
      </c>
      <c r="J17" s="122" t="inlineStr">
        <is>
          <t>Semi-Invasive</t>
        </is>
      </c>
      <c r="K17" s="120" t="inlineStr">
        <is>
          <t>Ultrasonic probe 2.25 MHz; piezoelectric transducer; UPR system</t>
        </is>
      </c>
      <c r="L17" s="120" t="inlineStr">
        <is>
          <t>FFT; composite model (resonance+spring); phase extraction</t>
        </is>
      </c>
      <c r="M17" s="120" t="inlineStr">
        <is>
          <t>None</t>
        </is>
      </c>
      <c r="N17" s="120" t="inlineStr">
        <is>
          <t>None</t>
        </is>
      </c>
      <c r="O17" s="123" t="inlineStr">
        <is>
          <t>H</t>
        </is>
      </c>
      <c r="P17" s="124" t="inlineStr">
        <is>
          <t>Composite measurement model combining resonance and spring models achieves 2 nm resolution for real-time dynamic film thickness adjustment.</t>
        </is>
      </c>
      <c r="Q17" s="125" t="inlineStr">
        <is>
          <t>✓</t>
        </is>
      </c>
      <c r="R17" s="126" t="n"/>
      <c r="S17" s="126" t="n"/>
      <c r="T17" s="126" t="n"/>
      <c r="U17" s="126" t="n"/>
      <c r="V17" s="126" t="n"/>
      <c r="W17" s="126" t="n"/>
      <c r="X17" s="126" t="n"/>
      <c r="Y17" s="126" t="n"/>
      <c r="Z17" s="127" t="inlineStr">
        <is>
          <t>✓</t>
        </is>
      </c>
      <c r="AA17" s="126" t="n"/>
      <c r="AB17" s="126" t="n"/>
      <c r="AC17" s="126" t="n"/>
      <c r="AD17" s="126" t="n"/>
      <c r="AE17" s="127" t="inlineStr">
        <is>
          <t>✓</t>
        </is>
      </c>
      <c r="AF17" s="126" t="n"/>
      <c r="AG17" s="126" t="n"/>
      <c r="AH17" s="126" t="n"/>
      <c r="AI17" s="126" t="n"/>
      <c r="AJ17" s="126" t="n"/>
    </row>
    <row r="18" ht="64.5" customHeight="1" s="109">
      <c r="A18" s="119" t="n">
        <v>16</v>
      </c>
      <c r="B18" s="120" t="inlineStr">
        <is>
          <t>Wu et al.</t>
        </is>
      </c>
      <c r="C18" s="119" t="n">
        <v>2025</v>
      </c>
      <c r="D18" s="120" t="inlineStr">
        <is>
          <t>Ultrasonic measurement for surface damage monitoring in coated bearing shells</t>
        </is>
      </c>
      <c r="E18" s="120" t="inlineStr">
        <is>
          <t>Plain bearing (Al coating on steel)</t>
        </is>
      </c>
      <c r="F18" s="120" t="inlineStr">
        <is>
          <t>Oil film</t>
        </is>
      </c>
      <c r="G18" s="120" t="inlineStr">
        <is>
          <t>Wear damage; coating thickness change; material removal</t>
        </is>
      </c>
      <c r="H18" s="120" t="inlineStr">
        <is>
          <t>Ultrasonic</t>
        </is>
      </c>
      <c r="I18" s="121" t="inlineStr">
        <is>
          <t>Active</t>
        </is>
      </c>
      <c r="J18" s="122" t="inlineStr">
        <is>
          <t>Semi-Invasive</t>
        </is>
      </c>
      <c r="K18" s="120" t="inlineStr">
        <is>
          <t>Pulse-echo 22 MHz piezoelectric transducer; near-field ultrasound</t>
        </is>
      </c>
      <c r="L18" s="120" t="inlineStr">
        <is>
          <t>ToF analysis; reflection from multiple interfaces; frequency-domain analysis</t>
        </is>
      </c>
      <c r="M18" s="120" t="inlineStr">
        <is>
          <t>ML models (mentioned, not detailed)</t>
        </is>
      </c>
      <c r="N18" s="120" t="inlineStr">
        <is>
          <t>Classical ML</t>
        </is>
      </c>
      <c r="O18" s="134" t="inlineStr">
        <is>
          <t>M</t>
        </is>
      </c>
      <c r="P18" s="124" t="inlineStr">
        <is>
          <t>Demonstrates ultrasound wear measurement for thin aluminium coatings; detects wear within 5 μm for artificial damage; 15 μm for dry-running worn samples.</t>
        </is>
      </c>
      <c r="Q18" s="125" t="inlineStr">
        <is>
          <t>✓</t>
        </is>
      </c>
      <c r="R18" s="126" t="n"/>
      <c r="S18" s="126" t="n"/>
      <c r="T18" s="126" t="n"/>
      <c r="U18" s="126" t="n"/>
      <c r="V18" s="126" t="n"/>
      <c r="W18" s="126" t="n"/>
      <c r="X18" s="126" t="n"/>
      <c r="Y18" s="126" t="n"/>
      <c r="Z18" s="127" t="inlineStr">
        <is>
          <t>✓</t>
        </is>
      </c>
      <c r="AA18" s="126" t="n"/>
      <c r="AB18" s="126" t="n"/>
      <c r="AC18" s="126" t="n"/>
      <c r="AD18" s="126" t="n"/>
      <c r="AE18" s="127" t="inlineStr">
        <is>
          <t>✓</t>
        </is>
      </c>
      <c r="AF18" s="129" t="inlineStr">
        <is>
          <t>✓</t>
        </is>
      </c>
      <c r="AG18" s="126" t="n"/>
      <c r="AH18" s="126" t="n"/>
      <c r="AI18" s="126" t="n"/>
      <c r="AJ18" s="126" t="n"/>
    </row>
    <row r="19" ht="64.5" customHeight="1" s="109">
      <c r="A19" s="119" t="n">
        <v>17</v>
      </c>
      <c r="B19" s="120" t="inlineStr">
        <is>
          <t>Alpine Components Ltd.</t>
        </is>
      </c>
      <c r="C19" s="119" t="n">
        <v>2008</v>
      </c>
      <c r="D19" s="120" t="inlineStr">
        <is>
          <t>Ultrasonic probes for inspecting bearings</t>
        </is>
      </c>
      <c r="E19" s="120" t="inlineStr">
        <is>
          <t>Ball and roller bearings</t>
        </is>
      </c>
      <c r="F19" s="120" t="inlineStr">
        <is>
          <t>Oil-based lubricant</t>
        </is>
      </c>
      <c r="G19" s="120" t="inlineStr">
        <is>
          <t>Fatigue failure initiation; brinelling; lubrication loss; baseline comparison</t>
        </is>
      </c>
      <c r="H19" s="120" t="inlineStr">
        <is>
          <t>Ultrasonic</t>
        </is>
      </c>
      <c r="I19" s="121" t="inlineStr">
        <is>
          <t>Active</t>
        </is>
      </c>
      <c r="J19" s="122" t="inlineStr">
        <is>
          <t>Semi-Invasive</t>
        </is>
      </c>
      <c r="K19" s="120" t="inlineStr">
        <is>
          <t>Pulse-echo 24–50 kHz piezoelectric; frequency tuning</t>
        </is>
      </c>
      <c r="L19" s="120" t="inlineStr">
        <is>
          <t>Comparative baseline testing; amplitude monitoring; frequency tuning</t>
        </is>
      </c>
      <c r="M19" s="120" t="inlineStr">
        <is>
          <t>None</t>
        </is>
      </c>
      <c r="N19" s="120" t="inlineStr">
        <is>
          <t>None</t>
        </is>
      </c>
      <c r="O19" s="134" t="inlineStr">
        <is>
          <t>M</t>
        </is>
      </c>
      <c r="P19" s="124" t="inlineStr">
        <is>
          <t>Practical guideline framework for ultrasonic bearing inspection; establishes baseline methodology for early fault detection before complete failure.</t>
        </is>
      </c>
      <c r="Q19" s="125" t="inlineStr">
        <is>
          <t>✓</t>
        </is>
      </c>
      <c r="R19" s="126" t="n"/>
      <c r="S19" s="126" t="n"/>
      <c r="T19" s="126" t="n"/>
      <c r="U19" s="126" t="n"/>
      <c r="V19" s="126" t="n"/>
      <c r="W19" s="126" t="n"/>
      <c r="X19" s="126" t="n"/>
      <c r="Y19" s="126" t="n"/>
      <c r="Z19" s="127" t="inlineStr">
        <is>
          <t>✓</t>
        </is>
      </c>
      <c r="AA19" s="126" t="n"/>
      <c r="AB19" s="126" t="n"/>
      <c r="AC19" s="127" t="inlineStr">
        <is>
          <t>✓</t>
        </is>
      </c>
      <c r="AD19" s="126" t="n"/>
      <c r="AE19" s="126" t="n"/>
      <c r="AF19" s="126" t="n"/>
      <c r="AG19" s="126" t="n"/>
      <c r="AH19" s="126" t="n"/>
      <c r="AI19" s="126" t="n"/>
      <c r="AJ19" s="126" t="n"/>
    </row>
    <row r="20" ht="64.5" customHeight="1" s="109">
      <c r="A20" s="135" t="n">
        <v>18</v>
      </c>
      <c r="B20" s="136" t="inlineStr">
        <is>
          <t>Maruyama et al.</t>
        </is>
      </c>
      <c r="C20" s="135" t="n">
        <v>2019</v>
      </c>
      <c r="D20" s="136" t="inlineStr">
        <is>
          <t>Lubrication Condition Monitoring of Practical Ball Bearings by Electrical Impedance Method</t>
        </is>
      </c>
      <c r="E20" s="136" t="inlineStr">
        <is>
          <t>DGBB (elliptical contacts)</t>
        </is>
      </c>
      <c r="F20" s="136" t="inlineStr">
        <is>
          <t>Oil (EHL)</t>
        </is>
      </c>
      <c r="G20" s="136" t="inlineStr">
        <is>
          <t>Film thickness; breakdown ratio α; viscous shear heating; starvation</t>
        </is>
      </c>
      <c r="H20" s="136" t="inlineStr">
        <is>
          <t>Impedance/Capacitance</t>
        </is>
      </c>
      <c r="I20" s="121" t="inlineStr">
        <is>
          <t>Active</t>
        </is>
      </c>
      <c r="J20" s="128" t="inlineStr">
        <is>
          <t>Invasive</t>
        </is>
      </c>
      <c r="K20" s="136" t="inlineStr">
        <is>
          <t>Electrical impedance (sinusoidal AC); complex impedance analyser</t>
        </is>
      </c>
      <c r="L20" s="136" t="inlineStr">
        <is>
          <t>Complex impedance analysis (modulus &amp; phase); geometric &amp; electrical circuit models</t>
        </is>
      </c>
      <c r="M20" s="136" t="inlineStr">
        <is>
          <t>None</t>
        </is>
      </c>
      <c r="N20" s="136" t="inlineStr">
        <is>
          <t>None</t>
        </is>
      </c>
      <c r="O20" s="123" t="inlineStr">
        <is>
          <t>H</t>
        </is>
      </c>
      <c r="P20" s="137" t="inlineStr">
        <is>
          <t>Electrical impedance method measures film thickness and breakdown ratio α simultaneously in practical ball bearings under mixed lubrication.</t>
        </is>
      </c>
      <c r="Q20" s="126" t="n"/>
      <c r="R20" s="125" t="inlineStr">
        <is>
          <t>✓</t>
        </is>
      </c>
      <c r="S20" s="126" t="n"/>
      <c r="T20" s="126" t="n"/>
      <c r="U20" s="126" t="n"/>
      <c r="V20" s="126" t="n"/>
      <c r="W20" s="126" t="n"/>
      <c r="X20" s="126" t="n"/>
      <c r="Y20" s="126" t="n"/>
      <c r="Z20" s="127" t="inlineStr">
        <is>
          <t>✓</t>
        </is>
      </c>
      <c r="AA20" s="126" t="n"/>
      <c r="AB20" s="126" t="n"/>
      <c r="AC20" s="127" t="inlineStr">
        <is>
          <t>✓</t>
        </is>
      </c>
      <c r="AD20" s="126" t="n"/>
      <c r="AE20" s="127" t="inlineStr">
        <is>
          <t>✓</t>
        </is>
      </c>
      <c r="AF20" s="126" t="n"/>
      <c r="AG20" s="126" t="n"/>
      <c r="AH20" s="126" t="n"/>
      <c r="AI20" s="126" t="n"/>
      <c r="AJ20" s="126" t="n"/>
    </row>
    <row r="21" ht="64.5" customHeight="1" s="109">
      <c r="A21" s="135" t="n">
        <v>19</v>
      </c>
      <c r="B21" s="136" t="inlineStr">
        <is>
          <t>Maruyama et al.</t>
        </is>
      </c>
      <c r="C21" s="135" t="n">
        <v>2023</v>
      </c>
      <c r="D21" s="136" t="inlineStr">
        <is>
          <t>Lubrication Condition Monitoring in EHD Line Contacts of Thrust Needle Roller Bearing Using the Electrical Impedance Method</t>
        </is>
      </c>
      <c r="E21" s="136" t="inlineStr">
        <is>
          <t>Thrust needle roller bearing</t>
        </is>
      </c>
      <c r="F21" s="136" t="inlineStr">
        <is>
          <t>Oil (EHL line contacts)</t>
        </is>
      </c>
      <c r="G21" s="136" t="inlineStr">
        <is>
          <t>Film thickness; running-in wear; film distribution in EHD line contacts</t>
        </is>
      </c>
      <c r="H21" s="136" t="inlineStr">
        <is>
          <t>Impedance/Capacitance</t>
        </is>
      </c>
      <c r="I21" s="121" t="inlineStr">
        <is>
          <t>Active</t>
        </is>
      </c>
      <c r="J21" s="128" t="inlineStr">
        <is>
          <t>Invasive</t>
        </is>
      </c>
      <c r="K21" s="136" t="inlineStr">
        <is>
          <t>Electrical impedance (sinusoidal AC); complex impedance + FEM validation</t>
        </is>
      </c>
      <c r="L21" s="136" t="inlineStr">
        <is>
          <t>Complex impedance (|θ|, phase); FEM validation</t>
        </is>
      </c>
      <c r="M21" s="136" t="inlineStr">
        <is>
          <t>None</t>
        </is>
      </c>
      <c r="N21" s="136" t="inlineStr">
        <is>
          <t>None</t>
        </is>
      </c>
      <c r="O21" s="123" t="inlineStr">
        <is>
          <t>H</t>
        </is>
      </c>
      <c r="P21" s="137" t="inlineStr">
        <is>
          <t>Extends impedance method to EHD line contacts; detects running-in wear and accurately monitors lubrication in practical thrust needle roller bearings.</t>
        </is>
      </c>
      <c r="Q21" s="126" t="n"/>
      <c r="R21" s="125" t="inlineStr">
        <is>
          <t>✓</t>
        </is>
      </c>
      <c r="S21" s="126" t="n"/>
      <c r="T21" s="126" t="n"/>
      <c r="U21" s="126" t="n"/>
      <c r="V21" s="126" t="n"/>
      <c r="W21" s="126" t="n"/>
      <c r="X21" s="126" t="n"/>
      <c r="Y21" s="126" t="n"/>
      <c r="Z21" s="127" t="inlineStr">
        <is>
          <t>✓</t>
        </is>
      </c>
      <c r="AA21" s="126" t="n"/>
      <c r="AB21" s="126" t="n"/>
      <c r="AC21" s="127" t="inlineStr">
        <is>
          <t>✓</t>
        </is>
      </c>
      <c r="AD21" s="126" t="n"/>
      <c r="AE21" s="127" t="inlineStr">
        <is>
          <t>✓</t>
        </is>
      </c>
      <c r="AF21" s="126" t="n"/>
      <c r="AG21" s="126" t="n"/>
      <c r="AH21" s="126" t="n"/>
      <c r="AI21" s="126" t="n"/>
      <c r="AJ21" s="126" t="n"/>
    </row>
    <row r="22" ht="64.5" customHeight="1" s="109">
      <c r="A22" s="135" t="n">
        <v>20</v>
      </c>
      <c r="B22" s="136" t="inlineStr">
        <is>
          <t>Schneider et al.</t>
        </is>
      </c>
      <c r="C22" s="135" t="n">
        <v>2023</v>
      </c>
      <c r="D22" s="136" t="inlineStr">
        <is>
          <t>Method for in situ film thickness measurement of ball bearings under combined loading using capacitance measurements</t>
        </is>
      </c>
      <c r="E22" s="136" t="inlineStr">
        <is>
          <t>Ball bearings (combined axial+radial load)</t>
        </is>
      </c>
      <c r="F22" s="136" t="inlineStr">
        <is>
          <t>Oil (EHL)</t>
        </is>
      </c>
      <c r="G22" s="136" t="inlineStr">
        <is>
          <t>Film thickness distribution; correction factors for film shape outside Hertzian contact</t>
        </is>
      </c>
      <c r="H22" s="136" t="inlineStr">
        <is>
          <t>Impedance/Capacitance</t>
        </is>
      </c>
      <c r="I22" s="121" t="inlineStr">
        <is>
          <t>Active</t>
        </is>
      </c>
      <c r="J22" s="128" t="inlineStr">
        <is>
          <t>Invasive</t>
        </is>
      </c>
      <c r="K22" s="136" t="inlineStr">
        <is>
          <t>Capacitance method (RC charging behaviour); impedance analyser</t>
        </is>
      </c>
      <c r="L22" s="136" t="inlineStr">
        <is>
          <t>RC time constant; correction factors (k_c, k_b); Hertzian contact analysis</t>
        </is>
      </c>
      <c r="M22" s="136" t="inlineStr">
        <is>
          <t>None</t>
        </is>
      </c>
      <c r="N22" s="136" t="inlineStr">
        <is>
          <t>None</t>
        </is>
      </c>
      <c r="O22" s="123" t="inlineStr">
        <is>
          <t>H</t>
        </is>
      </c>
      <c r="P22" s="137" t="inlineStr">
        <is>
          <t>Novel capacitance analytical method with correction factors for realistic film shape under combined loading; first in-situ measurement under combined axial and radial load.</t>
        </is>
      </c>
      <c r="Q22" s="126" t="n"/>
      <c r="R22" s="125" t="inlineStr">
        <is>
          <t>✓</t>
        </is>
      </c>
      <c r="S22" s="126" t="n"/>
      <c r="T22" s="126" t="n"/>
      <c r="U22" s="126" t="n"/>
      <c r="V22" s="126" t="n"/>
      <c r="W22" s="126" t="n"/>
      <c r="X22" s="126" t="n"/>
      <c r="Y22" s="126" t="n"/>
      <c r="Z22" s="126" t="n"/>
      <c r="AA22" s="126" t="n"/>
      <c r="AB22" s="126" t="n"/>
      <c r="AC22" s="127" t="inlineStr">
        <is>
          <t>✓</t>
        </is>
      </c>
      <c r="AD22" s="126" t="n"/>
      <c r="AE22" s="127" t="inlineStr">
        <is>
          <t>✓</t>
        </is>
      </c>
      <c r="AF22" s="126" t="n"/>
      <c r="AG22" s="126" t="n"/>
      <c r="AH22" s="126" t="n"/>
      <c r="AI22" s="126" t="n"/>
      <c r="AJ22" s="126" t="n"/>
    </row>
    <row r="23" ht="64.5" customHeight="1" s="109">
      <c r="A23" s="135" t="n">
        <v>21</v>
      </c>
      <c r="B23" s="136" t="inlineStr">
        <is>
          <t>Cen et al.</t>
        </is>
      </c>
      <c r="C23" s="135" t="n">
        <v>2020</v>
      </c>
      <c r="D23" s="136" t="inlineStr">
        <is>
          <t>EHL film thickness in rolling element bearings evaluated by electrical capacitance method: A review</t>
        </is>
      </c>
      <c r="E23" s="136" t="inlineStr">
        <is>
          <t>Rolling element bearings (review)</t>
        </is>
      </c>
      <c r="F23" s="136" t="inlineStr">
        <is>
          <t>Oil/grease (EHL)</t>
        </is>
      </c>
      <c r="G23" s="136" t="inlineStr">
        <is>
          <t>Film thickness; dielectric constant; lubrication regime (flooded/starved)</t>
        </is>
      </c>
      <c r="H23" s="136" t="inlineStr">
        <is>
          <t>Impedance/Capacitance</t>
        </is>
      </c>
      <c r="I23" s="121" t="inlineStr">
        <is>
          <t>Active</t>
        </is>
      </c>
      <c r="J23" s="128" t="inlineStr">
        <is>
          <t>Invasive</t>
        </is>
      </c>
      <c r="K23" s="136" t="inlineStr">
        <is>
          <t>Capacitance gauge; charging-up method; LCR meter</t>
        </is>
      </c>
      <c r="L23" s="136" t="inlineStr">
        <is>
          <t>Calibration curves; Clausius–Mossotti equation; Crook vs calibration approach</t>
        </is>
      </c>
      <c r="M23" s="136" t="inlineStr">
        <is>
          <t>None</t>
        </is>
      </c>
      <c r="N23" s="136" t="inlineStr">
        <is>
          <t>None</t>
        </is>
      </c>
      <c r="O23" s="123" t="inlineStr">
        <is>
          <t>H</t>
        </is>
      </c>
      <c r="P23" s="137" t="inlineStr">
        <is>
          <t>Comprehensive review of electrical capacitance methods for EHL film thickness; compares Crook's method and calibration-based approach with practical recommendations.</t>
        </is>
      </c>
      <c r="Q23" s="126" t="n"/>
      <c r="R23" s="125" t="inlineStr">
        <is>
          <t>✓</t>
        </is>
      </c>
      <c r="S23" s="126" t="n"/>
      <c r="T23" s="126" t="n"/>
      <c r="U23" s="126" t="n"/>
      <c r="V23" s="126" t="n"/>
      <c r="W23" s="126" t="n"/>
      <c r="X23" s="126" t="n"/>
      <c r="Y23" s="126" t="n"/>
      <c r="Z23" s="126" t="n"/>
      <c r="AA23" s="126" t="n"/>
      <c r="AB23" s="126" t="n"/>
      <c r="AC23" s="127" t="inlineStr">
        <is>
          <t>✓</t>
        </is>
      </c>
      <c r="AD23" s="126" t="n"/>
      <c r="AE23" s="127" t="inlineStr">
        <is>
          <t>✓</t>
        </is>
      </c>
      <c r="AF23" s="126" t="n"/>
      <c r="AG23" s="126" t="n"/>
      <c r="AH23" s="126" t="n"/>
      <c r="AI23" s="126" t="n"/>
      <c r="AJ23" s="126" t="n"/>
    </row>
    <row r="24" ht="64.5" customHeight="1" s="109">
      <c r="A24" s="135" t="n">
        <v>22</v>
      </c>
      <c r="B24" s="136" t="inlineStr">
        <is>
          <t>Becker-Dombrowski &amp; Kirchner</t>
        </is>
      </c>
      <c r="C24" s="135" t="n">
        <v>2024</v>
      </c>
      <c r="D24" s="136" t="inlineStr">
        <is>
          <t>Electrical impedance based condition monitoring of machine elements – a systematic review</t>
        </is>
      </c>
      <c r="E24" s="136" t="inlineStr">
        <is>
          <t>Rolling element bearings (review)</t>
        </is>
      </c>
      <c r="F24" s="136" t="inlineStr">
        <is>
          <t>EHL contacts (full-film to boundary)</t>
        </is>
      </c>
      <c r="G24" s="136" t="inlineStr">
        <is>
          <t>Impedance; contact resistance; capacitance; film thickness; asperity contact</t>
        </is>
      </c>
      <c r="H24" s="136" t="inlineStr">
        <is>
          <t>Impedance/Capacitance</t>
        </is>
      </c>
      <c r="I24" s="121" t="inlineStr">
        <is>
          <t>Active</t>
        </is>
      </c>
      <c r="J24" s="128" t="inlineStr">
        <is>
          <t>Invasive</t>
        </is>
      </c>
      <c r="K24" s="136" t="inlineStr">
        <is>
          <t>Electrical impedance spectroscopy (EIS); frequency-dependent impedance</t>
        </is>
      </c>
      <c r="L24" s="136" t="inlineStr">
        <is>
          <t>Nyquist/Bode plots; equivalent circuit fitting; frequency response analysis</t>
        </is>
      </c>
      <c r="M24" s="136" t="inlineStr">
        <is>
          <t>ML mentioned as emerging</t>
        </is>
      </c>
      <c r="N24" s="136" t="inlineStr">
        <is>
          <t>Classical ML</t>
        </is>
      </c>
      <c r="O24" s="123" t="inlineStr">
        <is>
          <t>H</t>
        </is>
      </c>
      <c r="P24" s="137" t="inlineStr">
        <is>
          <t>Systematic review of impedance-based CM; establishes RC and Warburg impedance equivalent circuits for rolling bearings; identifies ML integration as emerging direction.</t>
        </is>
      </c>
      <c r="Q24" s="126" t="n"/>
      <c r="R24" s="125" t="inlineStr">
        <is>
          <t>✓</t>
        </is>
      </c>
      <c r="S24" s="126" t="n"/>
      <c r="T24" s="126" t="n"/>
      <c r="U24" s="126" t="n"/>
      <c r="V24" s="126" t="n"/>
      <c r="W24" s="126" t="n"/>
      <c r="X24" s="126" t="n"/>
      <c r="Y24" s="126" t="n"/>
      <c r="Z24" s="127" t="inlineStr">
        <is>
          <t>✓</t>
        </is>
      </c>
      <c r="AA24" s="126" t="n"/>
      <c r="AB24" s="126" t="n"/>
      <c r="AC24" s="127" t="inlineStr">
        <is>
          <t>✓</t>
        </is>
      </c>
      <c r="AD24" s="126" t="n"/>
      <c r="AE24" s="127" t="inlineStr">
        <is>
          <t>✓</t>
        </is>
      </c>
      <c r="AF24" s="129" t="inlineStr">
        <is>
          <t>✓</t>
        </is>
      </c>
      <c r="AG24" s="126" t="n"/>
      <c r="AH24" s="126" t="n"/>
      <c r="AI24" s="126" t="n"/>
      <c r="AJ24" s="126" t="n"/>
    </row>
    <row r="25" ht="64.5" customHeight="1" s="109">
      <c r="A25" s="135" t="n">
        <v>23</v>
      </c>
      <c r="B25" s="136" t="inlineStr">
        <is>
          <t>Yu et al.</t>
        </is>
      </c>
      <c r="C25" s="135" t="n">
        <v>2024</v>
      </c>
      <c r="D25" s="136" t="inlineStr">
        <is>
          <t>Using electrical impedance spectroscopy to identify equivalent circuit models of lubricated contacts with complex geometry: In-situ application to mini traction machine</t>
        </is>
      </c>
      <c r="E25" s="136" t="inlineStr">
        <is>
          <t>Ball-on-disc (Mini Traction Machine)</t>
        </is>
      </c>
      <c r="F25" s="136" t="inlineStr">
        <is>
          <t>Boundary/mixed/full-film EHL</t>
        </is>
      </c>
      <c r="G25" s="136" t="inlineStr">
        <is>
          <t>Film thickness; contact resistance; capacitance; asperity breakdown voltage</t>
        </is>
      </c>
      <c r="H25" s="136" t="inlineStr">
        <is>
          <t>Impedance/Capacitance</t>
        </is>
      </c>
      <c r="I25" s="121" t="inlineStr">
        <is>
          <t>Active</t>
        </is>
      </c>
      <c r="J25" s="128" t="inlineStr">
        <is>
          <t>Invasive</t>
        </is>
      </c>
      <c r="K25" s="136" t="inlineStr">
        <is>
          <t>EIS + optical interferometry (UTFI); potentiostat voltage sweep</t>
        </is>
      </c>
      <c r="L25" s="136" t="inlineStr">
        <is>
          <t>Equivalent circuit model fitting; Bode &amp; Nyquist analysis; optical interferometry calibration</t>
        </is>
      </c>
      <c r="M25" s="136" t="inlineStr">
        <is>
          <t>None</t>
        </is>
      </c>
      <c r="N25" s="136" t="inlineStr">
        <is>
          <t>None</t>
        </is>
      </c>
      <c r="O25" s="123" t="inlineStr">
        <is>
          <t>H</t>
        </is>
      </c>
      <c r="P25" s="137" t="inlineStr">
        <is>
          <t>EIS with equivalent circuit model enables film thickness measurement without transparent materials; applicable to complex geometries at 1–2500 mm/s, 40–80 °C.</t>
        </is>
      </c>
      <c r="Q25" s="126" t="n"/>
      <c r="R25" s="125" t="inlineStr">
        <is>
          <t>✓</t>
        </is>
      </c>
      <c r="S25" s="126" t="n"/>
      <c r="T25" s="126" t="n"/>
      <c r="U25" s="126" t="n"/>
      <c r="V25" s="126" t="n"/>
      <c r="W25" s="126" t="n"/>
      <c r="X25" s="126" t="n"/>
      <c r="Y25" s="126" t="n"/>
      <c r="Z25" s="127" t="inlineStr">
        <is>
          <t>✓</t>
        </is>
      </c>
      <c r="AA25" s="126" t="n"/>
      <c r="AB25" s="126" t="n"/>
      <c r="AC25" s="127" t="inlineStr">
        <is>
          <t>✓</t>
        </is>
      </c>
      <c r="AD25" s="126" t="n"/>
      <c r="AE25" s="127" t="inlineStr">
        <is>
          <t>✓</t>
        </is>
      </c>
      <c r="AF25" s="126" t="n"/>
      <c r="AG25" s="126" t="n"/>
      <c r="AH25" s="126" t="n"/>
      <c r="AI25" s="126" t="n"/>
      <c r="AJ25" s="126" t="n"/>
    </row>
    <row r="26" ht="64.5" customHeight="1" s="109">
      <c r="A26" s="135" t="n">
        <v>24</v>
      </c>
      <c r="B26" s="136" t="inlineStr">
        <is>
          <t>Dai</t>
        </is>
      </c>
      <c r="C26" s="135" t="n">
        <v>2024</v>
      </c>
      <c r="D26" s="136" t="inlineStr">
        <is>
          <t>In Situ Measurement of Grease Capacitive Film Thickness in Bearings: A Review</t>
        </is>
      </c>
      <c r="E26" s="136" t="inlineStr">
        <is>
          <t>DGBB, angular contact, cylindrical roller (review)</t>
        </is>
      </c>
      <c r="F26" s="136" t="inlineStr">
        <is>
          <t>Grease and oil</t>
        </is>
      </c>
      <c r="G26" s="136" t="inlineStr">
        <is>
          <t>Film thickness; lubrication regime (starved/flooded/mixed); grease starvation model</t>
        </is>
      </c>
      <c r="H26" s="136" t="inlineStr">
        <is>
          <t>Impedance/Capacitance</t>
        </is>
      </c>
      <c r="I26" s="121" t="inlineStr">
        <is>
          <t>Active</t>
        </is>
      </c>
      <c r="J26" s="128" t="inlineStr">
        <is>
          <t>Invasive</t>
        </is>
      </c>
      <c r="K26" s="136" t="inlineStr">
        <is>
          <t>Capacitance (oscilloscope, AC bridge, LCR meter, impedance analyser)</t>
        </is>
      </c>
      <c r="L26" s="136" t="inlineStr">
        <is>
          <t>Constant current charging; voltage divider; impedance analysis; discharge monitoring</t>
        </is>
      </c>
      <c r="M26" s="136" t="inlineStr">
        <is>
          <t>None</t>
        </is>
      </c>
      <c r="N26" s="136" t="inlineStr">
        <is>
          <t>None</t>
        </is>
      </c>
      <c r="O26" s="123" t="inlineStr">
        <is>
          <t>H</t>
        </is>
      </c>
      <c r="P26" s="137" t="inlineStr">
        <is>
          <t>Review of capacitance method for grease film thickness in real bearings; proposes comprehensive dielectric models validated on 113 literature data points; new starvation model.</t>
        </is>
      </c>
      <c r="Q26" s="126" t="n"/>
      <c r="R26" s="125" t="inlineStr">
        <is>
          <t>✓</t>
        </is>
      </c>
      <c r="S26" s="126" t="n"/>
      <c r="T26" s="126" t="n"/>
      <c r="U26" s="126" t="n"/>
      <c r="V26" s="126" t="n"/>
      <c r="W26" s="126" t="n"/>
      <c r="X26" s="126" t="n"/>
      <c r="Y26" s="126" t="n"/>
      <c r="Z26" s="126" t="n"/>
      <c r="AA26" s="126" t="n"/>
      <c r="AB26" s="126" t="n"/>
      <c r="AC26" s="127" t="inlineStr">
        <is>
          <t>✓</t>
        </is>
      </c>
      <c r="AD26" s="126" t="n"/>
      <c r="AE26" s="127" t="inlineStr">
        <is>
          <t>✓</t>
        </is>
      </c>
      <c r="AF26" s="126" t="n"/>
      <c r="AG26" s="126" t="n"/>
      <c r="AH26" s="126" t="n"/>
      <c r="AI26" s="126" t="n"/>
      <c r="AJ26" s="126" t="n"/>
    </row>
    <row r="27" ht="64.5" customHeight="1" s="109">
      <c r="A27" s="135" t="n">
        <v>25</v>
      </c>
      <c r="B27" s="136" t="inlineStr">
        <is>
          <t>Jablonka et al.</t>
        </is>
      </c>
      <c r="C27" s="135" t="n">
        <v>2017</v>
      </c>
      <c r="D27" s="136" t="inlineStr">
        <is>
          <t>Quantitative measurements of film thickness in a radially loaded deep-groove ball bearing</t>
        </is>
      </c>
      <c r="E27" s="136" t="inlineStr">
        <is>
          <t>DGBB 6306 ETN9</t>
        </is>
      </c>
      <c r="F27" s="136" t="inlineStr">
        <is>
          <t>Mineral/PAO oils</t>
        </is>
      </c>
      <c r="G27" s="136" t="inlineStr">
        <is>
          <t>Film thickness; dielectric constant; contact pressure</t>
        </is>
      </c>
      <c r="H27" s="136" t="inlineStr">
        <is>
          <t>Impedance/Capacitance</t>
        </is>
      </c>
      <c r="I27" s="121" t="inlineStr">
        <is>
          <t>Active</t>
        </is>
      </c>
      <c r="J27" s="128" t="inlineStr">
        <is>
          <t>Invasive</t>
        </is>
      </c>
      <c r="K27" s="136" t="inlineStr">
        <is>
          <t>Electrical capacitance sensors; impedance analyser 100 kHz; Lubecheck voltage</t>
        </is>
      </c>
      <c r="L27" s="136" t="inlineStr">
        <is>
          <t>Clausius–Mossotti equation; Dowson–Higginson film thickness; pressure–density models</t>
        </is>
      </c>
      <c r="M27" s="136" t="inlineStr">
        <is>
          <t>None</t>
        </is>
      </c>
      <c r="N27" s="136" t="inlineStr">
        <is>
          <t>None</t>
        </is>
      </c>
      <c r="O27" s="123" t="inlineStr">
        <is>
          <t>H</t>
        </is>
      </c>
      <c r="P27" s="137" t="inlineStr">
        <is>
          <t>Extends capacitance method to full rolling bearing geometry replacing one raceway with ceramic ball; compares multiple lubricants and operating conditions.</t>
        </is>
      </c>
      <c r="Q27" s="126" t="n"/>
      <c r="R27" s="125" t="inlineStr">
        <is>
          <t>✓</t>
        </is>
      </c>
      <c r="S27" s="126" t="n"/>
      <c r="T27" s="126" t="n"/>
      <c r="U27" s="126" t="n"/>
      <c r="V27" s="126" t="n"/>
      <c r="W27" s="126" t="n"/>
      <c r="X27" s="126" t="n"/>
      <c r="Y27" s="126" t="n"/>
      <c r="Z27" s="126" t="n"/>
      <c r="AA27" s="126" t="n"/>
      <c r="AB27" s="126" t="n"/>
      <c r="AC27" s="127" t="inlineStr">
        <is>
          <t>✓</t>
        </is>
      </c>
      <c r="AD27" s="126" t="n"/>
      <c r="AE27" s="127" t="inlineStr">
        <is>
          <t>✓</t>
        </is>
      </c>
      <c r="AF27" s="126" t="n"/>
      <c r="AG27" s="126" t="n"/>
      <c r="AH27" s="126" t="n"/>
      <c r="AI27" s="126" t="n"/>
      <c r="AJ27" s="126" t="n"/>
    </row>
    <row r="28" ht="64.5" customHeight="1" s="109">
      <c r="A28" s="135" t="n">
        <v>26</v>
      </c>
      <c r="B28" s="136" t="inlineStr">
        <is>
          <t>Shi et al.</t>
        </is>
      </c>
      <c r="C28" s="135" t="n">
        <v>2021</v>
      </c>
      <c r="D28" s="136" t="inlineStr">
        <is>
          <t>An Ultrasensitive Microsensor Based on Impedance Analysis for Oil Condition Monitoring</t>
        </is>
      </c>
      <c r="E28" s="136" t="inlineStr">
        <is>
          <t>General oil circulation systems</t>
        </is>
      </c>
      <c r="F28" s="136" t="inlineStr">
        <is>
          <t>Oil (hydraulic oil + additives)</t>
        </is>
      </c>
      <c r="G28" s="136" t="inlineStr">
        <is>
          <t>Metal debris (Fe, Cu); air bubbles; moisture; wear particles; oil contamination</t>
        </is>
      </c>
      <c r="H28" s="136" t="inlineStr">
        <is>
          <t>Impedance/Capacitance</t>
        </is>
      </c>
      <c r="I28" s="121" t="inlineStr">
        <is>
          <t>Active</t>
        </is>
      </c>
      <c r="J28" s="128" t="inlineStr">
        <is>
          <t>Invasive</t>
        </is>
      </c>
      <c r="K28" s="136" t="inlineStr">
        <is>
          <t>Inductance-resistance (AC magnetic field) + capacitance (electrode plates); combined impedance</t>
        </is>
      </c>
      <c r="L28" s="136" t="inlineStr">
        <is>
          <t>Lock-in amplification; EMD; baseline return to zero; signal pulse extraction; frequency-domain</t>
        </is>
      </c>
      <c r="M28" s="136" t="inlineStr">
        <is>
          <t>None</t>
        </is>
      </c>
      <c r="N28" s="136" t="inlineStr">
        <is>
          <t>None</t>
        </is>
      </c>
      <c r="O28" s="123" t="inlineStr">
        <is>
          <t>H</t>
        </is>
      </c>
      <c r="P28" s="137" t="inlineStr">
        <is>
          <t>Dual-principle microsensor (inductance for ferromagnetic, capacitance for contamination) detects 60–500 μm iron debris and moisture with ultrahigh sensitivity.</t>
        </is>
      </c>
      <c r="Q28" s="126" t="n"/>
      <c r="R28" s="125" t="inlineStr">
        <is>
          <t>✓</t>
        </is>
      </c>
      <c r="S28" s="126" t="n"/>
      <c r="T28" s="126" t="n"/>
      <c r="U28" s="126" t="n"/>
      <c r="V28" s="126" t="n"/>
      <c r="W28" s="126" t="n"/>
      <c r="X28" s="126" t="n"/>
      <c r="Y28" s="126" t="n"/>
      <c r="Z28" s="127" t="inlineStr">
        <is>
          <t>✓</t>
        </is>
      </c>
      <c r="AA28" s="126" t="n"/>
      <c r="AB28" s="126" t="n"/>
      <c r="AC28" s="127" t="inlineStr">
        <is>
          <t>✓</t>
        </is>
      </c>
      <c r="AD28" s="126" t="n"/>
      <c r="AE28" s="126" t="n"/>
      <c r="AF28" s="126" t="n"/>
      <c r="AG28" s="126" t="n"/>
      <c r="AH28" s="126" t="n"/>
      <c r="AI28" s="126" t="n"/>
      <c r="AJ28" s="126" t="n"/>
    </row>
    <row r="29" ht="64.5" customHeight="1" s="109">
      <c r="A29" s="135" t="n">
        <v>27</v>
      </c>
      <c r="B29" s="136" t="inlineStr">
        <is>
          <t>Mohammed &amp; Djurović</t>
        </is>
      </c>
      <c r="C29" s="135" t="n">
        <v>2022</v>
      </c>
      <c r="D29" s="136" t="inlineStr">
        <is>
          <t>Electric Machine Bearing Health Monitoring and Ball Fault Detection by Simultaneous Thermo-Mechanical Fibre Optic Sensing</t>
        </is>
      </c>
      <c r="E29" s="136" t="inlineStr">
        <is>
          <t>NSK 6202 DGBB</t>
        </is>
      </c>
      <c r="F29" s="136" t="inlineStr">
        <is>
          <t>Grease</t>
        </is>
      </c>
      <c r="G29" s="136" t="inlineStr">
        <is>
          <t>Temperature; mechanical strain; ball faults (0.1–0.3 mm)</t>
        </is>
      </c>
      <c r="H29" s="136" t="inlineStr">
        <is>
          <t>Fibre Optic</t>
        </is>
      </c>
      <c r="I29" s="121" t="inlineStr">
        <is>
          <t>Active</t>
        </is>
      </c>
      <c r="J29" s="122" t="inlineStr">
        <is>
          <t>Semi-Invasive</t>
        </is>
      </c>
      <c r="K29" s="136" t="inlineStr">
        <is>
          <t>FBG array sensors (two FBG heads); simultaneous thermal + mechanical sensing</t>
        </is>
      </c>
      <c r="L29" s="136" t="inlineStr">
        <is>
          <t>FFT (2.5 kHz sampling); time-domain; AC/DC separation; wavelength-temperature fit</t>
        </is>
      </c>
      <c r="M29" s="136" t="inlineStr">
        <is>
          <t>None</t>
        </is>
      </c>
      <c r="N29" s="136" t="inlineStr">
        <is>
          <t>None</t>
        </is>
      </c>
      <c r="O29" s="134" t="inlineStr">
        <is>
          <t>M</t>
        </is>
      </c>
      <c r="P29" s="137" t="inlineStr">
        <is>
          <t>Novel FBG system enables simultaneous thermo-mechanical monitoring at single bearing point; detects 0.1 mm ball faults via combined thermal/mechanical FBG signatures.</t>
        </is>
      </c>
      <c r="Q29" s="126" t="n"/>
      <c r="R29" s="126" t="n"/>
      <c r="S29" s="126" t="n"/>
      <c r="T29" s="126" t="n"/>
      <c r="U29" s="126" t="n"/>
      <c r="V29" s="126" t="n"/>
      <c r="W29" s="125" t="inlineStr">
        <is>
          <t>✓</t>
        </is>
      </c>
      <c r="X29" s="126" t="n"/>
      <c r="Y29" s="126" t="n"/>
      <c r="Z29" s="127" t="inlineStr">
        <is>
          <t>✓</t>
        </is>
      </c>
      <c r="AA29" s="126" t="n"/>
      <c r="AB29" s="126" t="n"/>
      <c r="AC29" s="127" t="inlineStr">
        <is>
          <t>✓</t>
        </is>
      </c>
      <c r="AD29" s="126" t="n"/>
      <c r="AE29" s="126" t="n"/>
      <c r="AF29" s="126" t="n"/>
      <c r="AG29" s="126" t="n"/>
      <c r="AH29" s="126" t="n"/>
      <c r="AI29" s="126" t="n"/>
      <c r="AJ29" s="126" t="n"/>
    </row>
    <row r="30" ht="64.5" customHeight="1" s="109">
      <c r="A30" s="135" t="n">
        <v>28</v>
      </c>
      <c r="B30" s="136" t="inlineStr">
        <is>
          <t>Cojocaru et al.</t>
        </is>
      </c>
      <c r="C30" s="135" t="n">
        <v>2025</v>
      </c>
      <c r="D30" s="136" t="inlineStr">
        <is>
          <t>Grease Film Behavior in Ball Bearings</t>
        </is>
      </c>
      <c r="E30" s="136" t="inlineStr">
        <is>
          <t>Angular contact 7000C, 608</t>
        </is>
      </c>
      <c r="F30" s="136" t="inlineStr">
        <is>
          <t>Grease (Shell Gadus S2 V100 2) + oil</t>
        </is>
      </c>
      <c r="G30" s="136" t="inlineStr">
        <is>
          <t>Film thickness; starvation; V-shaped film pattern; soap fragmentation at 8 h</t>
        </is>
      </c>
      <c r="H30" s="136" t="inlineStr">
        <is>
          <t>Impedance/Capacitance</t>
        </is>
      </c>
      <c r="I30" s="121" t="inlineStr">
        <is>
          <t>Active</t>
        </is>
      </c>
      <c r="J30" s="128" t="inlineStr">
        <is>
          <t>Invasive</t>
        </is>
      </c>
      <c r="K30" s="136" t="inlineStr">
        <is>
          <t>Electrical resistance (tribometer UMT-2); graphite contact device; SEM microscopy</t>
        </is>
      </c>
      <c r="L30" s="136" t="inlineStr">
        <is>
          <t>Real-time resistance monitoring; correlation analysis</t>
        </is>
      </c>
      <c r="M30" s="136" t="inlineStr">
        <is>
          <t>None</t>
        </is>
      </c>
      <c r="N30" s="136" t="inlineStr">
        <is>
          <t>None</t>
        </is>
      </c>
      <c r="O30" s="123" t="inlineStr">
        <is>
          <t>H</t>
        </is>
      </c>
      <c r="P30" s="137" t="inlineStr">
        <is>
          <t>V-shaped grease film thickness pattern at low speeds documented; soap fragmentation observed after 8 h extended operation via resistance monitoring.</t>
        </is>
      </c>
      <c r="Q30" s="126" t="n"/>
      <c r="R30" s="125" t="inlineStr">
        <is>
          <t>✓</t>
        </is>
      </c>
      <c r="S30" s="126" t="n"/>
      <c r="T30" s="126" t="n"/>
      <c r="U30" s="126" t="n"/>
      <c r="V30" s="126" t="n"/>
      <c r="W30" s="126" t="n"/>
      <c r="X30" s="126" t="n"/>
      <c r="Y30" s="126" t="n"/>
      <c r="Z30" s="126" t="n"/>
      <c r="AA30" s="126" t="n"/>
      <c r="AB30" s="126" t="n"/>
      <c r="AC30" s="127" t="inlineStr">
        <is>
          <t>✓</t>
        </is>
      </c>
      <c r="AD30" s="126" t="n"/>
      <c r="AE30" s="127" t="inlineStr">
        <is>
          <t>✓</t>
        </is>
      </c>
      <c r="AF30" s="126" t="n"/>
      <c r="AG30" s="126" t="n"/>
      <c r="AH30" s="126" t="n"/>
      <c r="AI30" s="126" t="n"/>
      <c r="AJ30" s="126" t="n"/>
    </row>
    <row r="31" ht="64.5" customHeight="1" s="109">
      <c r="A31" s="135" t="n">
        <v>29</v>
      </c>
      <c r="B31" s="136" t="inlineStr">
        <is>
          <t>Cen &amp; Lugt</t>
        </is>
      </c>
      <c r="C31" s="135" t="n">
        <v>2019</v>
      </c>
      <c r="D31" s="136" t="inlineStr">
        <is>
          <t>Film thickness in a grease lubricated ball bearing</t>
        </is>
      </c>
      <c r="E31" s="136" t="inlineStr">
        <is>
          <t>DGBB 6209-2Z/C3</t>
        </is>
      </c>
      <c r="F31" s="136" t="inlineStr">
        <is>
          <t>Grease (PU/E, Li/M, Lic/PAO)</t>
        </is>
      </c>
      <c r="G31" s="136" t="inlineStr">
        <is>
          <t>Film thickness variation with speed/load; starvation limit; temperature effects</t>
        </is>
      </c>
      <c r="H31" s="136" t="inlineStr">
        <is>
          <t>Impedance/Capacitance</t>
        </is>
      </c>
      <c r="I31" s="121" t="inlineStr">
        <is>
          <t>Active</t>
        </is>
      </c>
      <c r="J31" s="128" t="inlineStr">
        <is>
          <t>Invasive</t>
        </is>
      </c>
      <c r="K31" s="136" t="inlineStr">
        <is>
          <t>Electrical capacitance method</t>
        </is>
      </c>
      <c r="L31" s="136" t="inlineStr">
        <is>
          <t>Normalised film ratio (h_g/h_0); temperature compensation</t>
        </is>
      </c>
      <c r="M31" s="136" t="inlineStr">
        <is>
          <t>None</t>
        </is>
      </c>
      <c r="N31" s="136" t="inlineStr">
        <is>
          <t>None</t>
        </is>
      </c>
      <c r="O31" s="123" t="inlineStr">
        <is>
          <t>H</t>
        </is>
      </c>
      <c r="P31" s="137" t="inlineStr">
        <is>
          <t>Quantified starvation effects on grease film thickness; film asymptotically approaches speed-dependent starvation limit over 20 h tests at 1000–4000 rpm.</t>
        </is>
      </c>
      <c r="Q31" s="126" t="n"/>
      <c r="R31" s="125" t="inlineStr">
        <is>
          <t>✓</t>
        </is>
      </c>
      <c r="S31" s="126" t="n"/>
      <c r="T31" s="126" t="n"/>
      <c r="U31" s="126" t="n"/>
      <c r="V31" s="126" t="n"/>
      <c r="W31" s="126" t="n"/>
      <c r="X31" s="126" t="n"/>
      <c r="Y31" s="126" t="n"/>
      <c r="Z31" s="126" t="n"/>
      <c r="AA31" s="126" t="n"/>
      <c r="AB31" s="126" t="n"/>
      <c r="AC31" s="127" t="inlineStr">
        <is>
          <t>✓</t>
        </is>
      </c>
      <c r="AD31" s="126" t="n"/>
      <c r="AE31" s="127" t="inlineStr">
        <is>
          <t>✓</t>
        </is>
      </c>
      <c r="AF31" s="126" t="n"/>
      <c r="AG31" s="126" t="n"/>
      <c r="AH31" s="126" t="n"/>
      <c r="AI31" s="126" t="n"/>
      <c r="AJ31" s="126" t="n"/>
    </row>
    <row r="32" ht="64.5" customHeight="1" s="109">
      <c r="A32" s="135" t="n">
        <v>30</v>
      </c>
      <c r="B32" s="136" t="inlineStr">
        <is>
          <t>Zhang &amp; Glovnea</t>
        </is>
      </c>
      <c r="C32" s="135" t="n">
        <v>2020</v>
      </c>
      <c r="D32" s="136" t="inlineStr">
        <is>
          <t>Grease film thickness measurement in rolling bearing contacts</t>
        </is>
      </c>
      <c r="E32" s="136" t="inlineStr">
        <is>
          <t>DGBB 6306ETN9</t>
        </is>
      </c>
      <c r="F32" s="136" t="inlineStr">
        <is>
          <t>Grease (multiple types)</t>
        </is>
      </c>
      <c r="G32" s="136" t="inlineStr">
        <is>
          <t>Film thickness at inner &amp; outer ring contacts; thermal effects</t>
        </is>
      </c>
      <c r="H32" s="136" t="inlineStr">
        <is>
          <t>Impedance/Capacitance</t>
        </is>
      </c>
      <c r="I32" s="121" t="inlineStr">
        <is>
          <t>Active</t>
        </is>
      </c>
      <c r="J32" s="128" t="inlineStr">
        <is>
          <t>Invasive</t>
        </is>
      </c>
      <c r="K32" s="136" t="inlineStr">
        <is>
          <t>Electrical capacitance (Solartron 1260 impedance analyser)</t>
        </is>
      </c>
      <c r="L32" s="136" t="inlineStr">
        <is>
          <t>Capacitance-to-film conversion; temperature compensation</t>
        </is>
      </c>
      <c r="M32" s="136" t="inlineStr">
        <is>
          <t>None</t>
        </is>
      </c>
      <c r="N32" s="136" t="inlineStr">
        <is>
          <t>None</t>
        </is>
      </c>
      <c r="O32" s="123" t="inlineStr">
        <is>
          <t>H</t>
        </is>
      </c>
      <c r="P32" s="137" t="inlineStr">
        <is>
          <t>Custom test rig for simultaneous inner and outer ring film measurement; resolves capacitance method limitations for grease-lubricated bearings.</t>
        </is>
      </c>
      <c r="Q32" s="126" t="n"/>
      <c r="R32" s="125" t="inlineStr">
        <is>
          <t>✓</t>
        </is>
      </c>
      <c r="S32" s="126" t="n"/>
      <c r="T32" s="126" t="n"/>
      <c r="U32" s="126" t="n"/>
      <c r="V32" s="126" t="n"/>
      <c r="W32" s="126" t="n"/>
      <c r="X32" s="126" t="n"/>
      <c r="Y32" s="126" t="n"/>
      <c r="Z32" s="126" t="n"/>
      <c r="AA32" s="126" t="n"/>
      <c r="AB32" s="126" t="n"/>
      <c r="AC32" s="127" t="inlineStr">
        <is>
          <t>✓</t>
        </is>
      </c>
      <c r="AD32" s="126" t="n"/>
      <c r="AE32" s="127" t="inlineStr">
        <is>
          <t>✓</t>
        </is>
      </c>
      <c r="AF32" s="126" t="n"/>
      <c r="AG32" s="126" t="n"/>
      <c r="AH32" s="126" t="n"/>
      <c r="AI32" s="126" t="n"/>
      <c r="AJ32" s="126" t="n"/>
    </row>
    <row r="33" ht="64.5" customHeight="1" s="109">
      <c r="A33" s="135" t="n">
        <v>31</v>
      </c>
      <c r="B33" s="136" t="inlineStr">
        <is>
          <t>Cen et al.</t>
        </is>
      </c>
      <c r="C33" s="135" t="n">
        <v>2025</v>
      </c>
      <c r="D33" s="136" t="inlineStr">
        <is>
          <t>Effect of thermal aging on the grease film thickness in ball bearings</t>
        </is>
      </c>
      <c r="E33" s="136" t="inlineStr">
        <is>
          <t>Ball bearing (ball-on-disc)</t>
        </is>
      </c>
      <c r="F33" s="136" t="inlineStr">
        <is>
          <t>PU/E and Li/M greases</t>
        </is>
      </c>
      <c r="G33" s="136" t="inlineStr">
        <is>
          <t>Film thickness; oxidation; oil separation; viscosity changes; weight loss</t>
        </is>
      </c>
      <c r="H33" s="136" t="inlineStr">
        <is>
          <t>Impedance/Capacitance + Spectroscopy</t>
        </is>
      </c>
      <c r="I33" s="121" t="inlineStr">
        <is>
          <t>Active</t>
        </is>
      </c>
      <c r="J33" s="128" t="inlineStr">
        <is>
          <t>Invasive</t>
        </is>
      </c>
      <c r="K33" s="136" t="inlineStr">
        <is>
          <t>Ball-on-disc, FTIR spectroscopy, penetration tester, electronic balance</t>
        </is>
      </c>
      <c r="L33" s="136" t="inlineStr">
        <is>
          <t>FTIR spectra analysis; trend analysis vs. aging time</t>
        </is>
      </c>
      <c r="M33" s="136" t="inlineStr">
        <is>
          <t>None</t>
        </is>
      </c>
      <c r="N33" s="136" t="inlineStr">
        <is>
          <t>None</t>
        </is>
      </c>
      <c r="O33" s="123" t="inlineStr">
        <is>
          <t>H</t>
        </is>
      </c>
      <c r="P33" s="137" t="inlineStr">
        <is>
          <t>Quantifies thermal aging effects on grease film thickness; establishes relationship between oxidation, evaporation, and film properties for bearing failure prediction.</t>
        </is>
      </c>
      <c r="Q33" s="126" t="n"/>
      <c r="R33" s="125" t="inlineStr">
        <is>
          <t>✓</t>
        </is>
      </c>
      <c r="S33" s="126" t="n"/>
      <c r="T33" s="126" t="n"/>
      <c r="U33" s="126" t="n"/>
      <c r="V33" s="126" t="n"/>
      <c r="W33" s="126" t="n"/>
      <c r="X33" s="126" t="n"/>
      <c r="Y33" s="126" t="n"/>
      <c r="Z33" s="126" t="n"/>
      <c r="AA33" s="126" t="n"/>
      <c r="AB33" s="126" t="n"/>
      <c r="AC33" s="127" t="inlineStr">
        <is>
          <t>✓</t>
        </is>
      </c>
      <c r="AD33" s="126" t="n"/>
      <c r="AE33" s="127" t="inlineStr">
        <is>
          <t>✓</t>
        </is>
      </c>
      <c r="AF33" s="126" t="n"/>
      <c r="AG33" s="126" t="n"/>
      <c r="AH33" s="126" t="n"/>
      <c r="AI33" s="126" t="n"/>
      <c r="AJ33" s="126" t="n"/>
    </row>
    <row r="34" ht="64.5" customHeight="1" s="109">
      <c r="A34" s="138" t="n">
        <v>32</v>
      </c>
      <c r="B34" s="139" t="inlineStr">
        <is>
          <t>Tian et al.</t>
        </is>
      </c>
      <c r="C34" s="138" t="n">
        <v>2025</v>
      </c>
      <c r="D34" s="139" t="inlineStr">
        <is>
          <t>Research on the Static Thermal Degradation Law of Lubricating Grease for Wind Power Bearings</t>
        </is>
      </c>
      <c r="E34" s="139" t="inlineStr">
        <is>
          <t>Four-ball sintering bearing</t>
        </is>
      </c>
      <c r="F34" s="139" t="inlineStr">
        <is>
          <t>Li-complex grease NLGI 1.5</t>
        </is>
      </c>
      <c r="G34" s="139" t="inlineStr">
        <is>
          <t>Quality degradation; penetration; oil separation rate; evaporation; viscosity</t>
        </is>
      </c>
      <c r="H34" s="139" t="inlineStr">
        <is>
          <t>Chemical Analysis / Bench Testing</t>
        </is>
      </c>
      <c r="I34" s="130" t="inlineStr">
        <is>
          <t>N/A</t>
        </is>
      </c>
      <c r="J34" s="130" t="inlineStr">
        <is>
          <t>N/A</t>
        </is>
      </c>
      <c r="K34" s="139" t="inlineStr">
        <is>
          <t>Oven aging; cone penetration meter; steel-net oil separator; electronic balance</t>
        </is>
      </c>
      <c r="L34" s="139" t="inlineStr">
        <is>
          <t>Kinetic model fitting; parameter extraction</t>
        </is>
      </c>
      <c r="M34" s="139" t="inlineStr">
        <is>
          <t>Physics-based kinetic model</t>
        </is>
      </c>
      <c r="N34" s="139" t="inlineStr">
        <is>
          <t>None</t>
        </is>
      </c>
      <c r="O34" s="123" t="inlineStr">
        <is>
          <t>H</t>
        </is>
      </c>
      <c r="P34" s="140" t="inlineStr">
        <is>
          <t>Develops static thermal degradation law for wind turbine grease providing a predictive model for lubricant performance degradation to prevent unplanned bearing failures.</t>
        </is>
      </c>
      <c r="Q34" s="126" t="n"/>
      <c r="R34" s="126" t="n"/>
      <c r="S34" s="126" t="n"/>
      <c r="T34" s="126" t="n"/>
      <c r="U34" s="126" t="n"/>
      <c r="V34" s="125" t="inlineStr">
        <is>
          <t>✓</t>
        </is>
      </c>
      <c r="W34" s="126" t="n"/>
      <c r="X34" s="126" t="n"/>
      <c r="Y34" s="126" t="n"/>
      <c r="Z34" s="126" t="n"/>
      <c r="AA34" s="126" t="n"/>
      <c r="AB34" s="126" t="n"/>
      <c r="AC34" s="127" t="inlineStr">
        <is>
          <t>✓</t>
        </is>
      </c>
      <c r="AD34" s="126" t="n"/>
      <c r="AE34" s="127" t="inlineStr">
        <is>
          <t>✓</t>
        </is>
      </c>
      <c r="AF34" s="126" t="n"/>
      <c r="AG34" s="126" t="n"/>
      <c r="AH34" s="126" t="n"/>
      <c r="AI34" s="129" t="inlineStr">
        <is>
          <t>✓</t>
        </is>
      </c>
      <c r="AJ34" s="126" t="n"/>
    </row>
    <row r="35" ht="64.5" customHeight="1" s="109">
      <c r="A35" s="141" t="n">
        <v>33</v>
      </c>
      <c r="B35" s="142" t="inlineStr">
        <is>
          <t>Yang et al.</t>
        </is>
      </c>
      <c r="C35" s="141" t="n">
        <v>2025</v>
      </c>
      <c r="D35" s="142" t="inlineStr">
        <is>
          <t>Research on Mechanical Aging Behavior of Grease in Rolling Bearing</t>
        </is>
      </c>
      <c r="E35" s="142" t="inlineStr">
        <is>
          <t>DGBB 6202E</t>
        </is>
      </c>
      <c r="F35" s="142" t="inlineStr">
        <is>
          <t>HSN (silicone) and HTG (lithium) grease</t>
        </is>
      </c>
      <c r="G35" s="142" t="inlineStr">
        <is>
          <t>Mechanical aging; friction coefficient; viscosity; thickener structure degradation</t>
        </is>
      </c>
      <c r="H35" s="142" t="inlineStr">
        <is>
          <t>Tribometry + Spectroscopy</t>
        </is>
      </c>
      <c r="I35" s="130" t="inlineStr">
        <is>
          <t>N/A</t>
        </is>
      </c>
      <c r="J35" s="130" t="inlineStr">
        <is>
          <t>N/A</t>
        </is>
      </c>
      <c r="K35" s="142" t="inlineStr">
        <is>
          <t>Friction torque sensor + thermocouple + rotary rheometer + FTIR; disk-ball-disk device</t>
        </is>
      </c>
      <c r="L35" s="142" t="inlineStr">
        <is>
          <t>Herschel–Bulkley model fitting; FTIR analysis; kinematic velocity</t>
        </is>
      </c>
      <c r="M35" s="142" t="inlineStr">
        <is>
          <t>None</t>
        </is>
      </c>
      <c r="N35" s="142" t="inlineStr">
        <is>
          <t>None</t>
        </is>
      </c>
      <c r="O35" s="123" t="inlineStr">
        <is>
          <t>H</t>
        </is>
      </c>
      <c r="P35" s="143" t="inlineStr">
        <is>
          <t>Innovative disk-ball-disk friction device for realistic grease aging simulation; characterises mechanical and thermal aging mechanisms affecting friction and viscosity.</t>
        </is>
      </c>
      <c r="Q35" s="126" t="n"/>
      <c r="R35" s="126" t="n"/>
      <c r="S35" s="126" t="n"/>
      <c r="T35" s="126" t="n"/>
      <c r="U35" s="126" t="n"/>
      <c r="V35" s="125" t="inlineStr">
        <is>
          <t>✓</t>
        </is>
      </c>
      <c r="W35" s="126" t="n"/>
      <c r="X35" s="126" t="n"/>
      <c r="Y35" s="125" t="inlineStr">
        <is>
          <t>✓</t>
        </is>
      </c>
      <c r="Z35" s="126" t="n"/>
      <c r="AA35" s="126" t="n"/>
      <c r="AB35" s="126" t="n"/>
      <c r="AC35" s="127" t="inlineStr">
        <is>
          <t>✓</t>
        </is>
      </c>
      <c r="AD35" s="126" t="n"/>
      <c r="AE35" s="127" t="inlineStr">
        <is>
          <t>✓</t>
        </is>
      </c>
      <c r="AF35" s="126" t="n"/>
      <c r="AG35" s="126" t="n"/>
      <c r="AH35" s="126" t="n"/>
      <c r="AI35" s="126" t="n"/>
      <c r="AJ35" s="126" t="n"/>
    </row>
    <row r="36" ht="64.5" customHeight="1" s="109">
      <c r="A36" s="141" t="n">
        <v>34</v>
      </c>
      <c r="B36" s="142" t="inlineStr">
        <is>
          <t>Yoshioka &amp; Shimizu</t>
        </is>
      </c>
      <c r="C36" s="141" t="n">
        <v>2009</v>
      </c>
      <c r="D36" s="142" t="inlineStr">
        <is>
          <t>Monitoring of Ball Bearing Operation under Grease Lubrication Using a New Compound Diagnostic System Detecting Vibration and Acoustic Emission</t>
        </is>
      </c>
      <c r="E36" s="142" t="inlineStr">
        <is>
          <t>DGBB 6206 open</t>
        </is>
      </c>
      <c r="F36" s="142" t="inlineStr">
        <is>
          <t>Lithium complex grease (40% fill)</t>
        </is>
      </c>
      <c r="G36" s="142" t="inlineStr">
        <is>
          <t>Rolling contact fatigue; outer race failure; lubrication starvation progression</t>
        </is>
      </c>
      <c r="H36" s="142" t="inlineStr">
        <is>
          <t>Acoustic Emission</t>
        </is>
      </c>
      <c r="I36" s="144" t="inlineStr">
        <is>
          <t>Passive</t>
        </is>
      </c>
      <c r="J36" s="122" t="inlineStr">
        <is>
          <t>Semi-Invasive</t>
        </is>
      </c>
      <c r="K36" s="142" t="inlineStr">
        <is>
          <t>Compound piezoelectric sensor (AE + vibration); AE demodulation</t>
        </is>
      </c>
      <c r="L36" s="142" t="inlineStr">
        <is>
          <t>Envelope demodulation; FFT; statistical parameters (S1–S4 RMS/var/skew/kurt); AE event rate</t>
        </is>
      </c>
      <c r="M36" s="142" t="inlineStr">
        <is>
          <t>None</t>
        </is>
      </c>
      <c r="N36" s="142" t="inlineStr">
        <is>
          <t>None</t>
        </is>
      </c>
      <c r="O36" s="123" t="inlineStr">
        <is>
          <t>H</t>
        </is>
      </c>
      <c r="P36" s="143" t="inlineStr">
        <is>
          <t>Compound AE+vibration diagnostic system for grease-lubricated bearings; AE event rate and demodulated AE are most sensitive to early outer race failure.</t>
        </is>
      </c>
      <c r="Q36" s="126" t="n"/>
      <c r="R36" s="126" t="n"/>
      <c r="S36" s="125" t="inlineStr">
        <is>
          <t>✓</t>
        </is>
      </c>
      <c r="T36" s="125" t="inlineStr">
        <is>
          <t>✓</t>
        </is>
      </c>
      <c r="U36" s="126" t="n"/>
      <c r="V36" s="126" t="n"/>
      <c r="W36" s="126" t="n"/>
      <c r="X36" s="126" t="n"/>
      <c r="Y36" s="125" t="inlineStr">
        <is>
          <t>✓</t>
        </is>
      </c>
      <c r="Z36" s="127" t="inlineStr">
        <is>
          <t>✓</t>
        </is>
      </c>
      <c r="AA36" s="126" t="n"/>
      <c r="AB36" s="127" t="inlineStr">
        <is>
          <t>✓</t>
        </is>
      </c>
      <c r="AC36" s="127" t="inlineStr">
        <is>
          <t>✓</t>
        </is>
      </c>
      <c r="AD36" s="126" t="n"/>
      <c r="AE36" s="126" t="n"/>
      <c r="AF36" s="126" t="n"/>
      <c r="AG36" s="126" t="n"/>
      <c r="AH36" s="126" t="n"/>
      <c r="AI36" s="126" t="n"/>
      <c r="AJ36" s="126" t="n"/>
    </row>
    <row r="37" ht="64.5" customHeight="1" s="109">
      <c r="A37" s="141" t="n">
        <v>35</v>
      </c>
      <c r="B37" s="142" t="inlineStr">
        <is>
          <t>Miettinen et al.</t>
        </is>
      </c>
      <c r="C37" s="141" t="n">
        <v>2000</v>
      </c>
      <c r="D37" s="142" t="inlineStr">
        <is>
          <t>Analysis of grease lubrication of rolling bearings using acoustic emission measurement</t>
        </is>
      </c>
      <c r="E37" s="142" t="inlineStr">
        <is>
          <t>Rolling bearings (various)</t>
        </is>
      </c>
      <c r="F37" s="142" t="inlineStr">
        <is>
          <t>Grease (various grades, thickener/viscosity)</t>
        </is>
      </c>
      <c r="G37" s="142" t="inlineStr">
        <is>
          <t>Film thickness starvation; grease re-supply mechanisms; AE generation</t>
        </is>
      </c>
      <c r="H37" s="142" t="inlineStr">
        <is>
          <t>Acoustic Emission</t>
        </is>
      </c>
      <c r="I37" s="144" t="inlineStr">
        <is>
          <t>Passive</t>
        </is>
      </c>
      <c r="J37" s="122" t="inlineStr">
        <is>
          <t>Semi-Invasive</t>
        </is>
      </c>
      <c r="K37" s="142" t="inlineStr">
        <is>
          <t>AE pulse counting (100 kHz–1 GHz bandwidth)</t>
        </is>
      </c>
      <c r="L37" s="142" t="inlineStr">
        <is>
          <t>Pulse count method; RMS analysis; film thickness EHL comparison</t>
        </is>
      </c>
      <c r="M37" s="142" t="inlineStr">
        <is>
          <t>None</t>
        </is>
      </c>
      <c r="N37" s="142" t="inlineStr">
        <is>
          <t>None</t>
        </is>
      </c>
      <c r="O37" s="123" t="inlineStr">
        <is>
          <t>H</t>
        </is>
      </c>
      <c r="P37" s="143" t="inlineStr">
        <is>
          <t>AE distinguishes lubrication regimes; starvation increases with thickener content and decreases with base oil viscosity; AE studies grease re-supply mechanisms in-situ.</t>
        </is>
      </c>
      <c r="Q37" s="126" t="n"/>
      <c r="R37" s="126" t="n"/>
      <c r="S37" s="125" t="inlineStr">
        <is>
          <t>✓</t>
        </is>
      </c>
      <c r="T37" s="126" t="n"/>
      <c r="U37" s="126" t="n"/>
      <c r="V37" s="126" t="n"/>
      <c r="W37" s="126" t="n"/>
      <c r="X37" s="126" t="n"/>
      <c r="Y37" s="126" t="n"/>
      <c r="Z37" s="127" t="inlineStr">
        <is>
          <t>✓</t>
        </is>
      </c>
      <c r="AA37" s="126" t="n"/>
      <c r="AB37" s="126" t="n"/>
      <c r="AC37" s="127" t="inlineStr">
        <is>
          <t>✓</t>
        </is>
      </c>
      <c r="AD37" s="126" t="n"/>
      <c r="AE37" s="127" t="inlineStr">
        <is>
          <t>✓</t>
        </is>
      </c>
      <c r="AF37" s="126" t="n"/>
      <c r="AG37" s="126" t="n"/>
      <c r="AH37" s="126" t="n"/>
      <c r="AI37" s="126" t="n"/>
      <c r="AJ37" s="126" t="n"/>
    </row>
    <row r="38" ht="64.5" customHeight="1" s="109">
      <c r="A38" s="141" t="n">
        <v>36</v>
      </c>
      <c r="B38" s="142" t="inlineStr">
        <is>
          <t>Hou &amp; Zhang</t>
        </is>
      </c>
      <c r="C38" s="141" t="n">
        <v>2025</v>
      </c>
      <c r="D38" s="142" t="inlineStr">
        <is>
          <t>In-situ detection of lubrication status of bearings with acoustic emission monitoring</t>
        </is>
      </c>
      <c r="E38" s="142" t="inlineStr">
        <is>
          <t>Thrust ball bearing (10 rolling elements)</t>
        </is>
      </c>
      <c r="F38" s="142" t="inlineStr">
        <is>
          <t>Oil (PAO16, PAO20, PAO40, PAO100)</t>
        </is>
      </c>
      <c r="G38" s="142" t="inlineStr">
        <is>
          <t>Lubrication state transitions (no lube → boundary → mixed → full film); friction/wear status</t>
        </is>
      </c>
      <c r="H38" s="142" t="inlineStr">
        <is>
          <t>Acoustic Emission</t>
        </is>
      </c>
      <c r="I38" s="144" t="inlineStr">
        <is>
          <t>Passive</t>
        </is>
      </c>
      <c r="J38" s="122" t="inlineStr">
        <is>
          <t>Semi-Invasive</t>
        </is>
      </c>
      <c r="K38" s="142" t="inlineStr">
        <is>
          <t>AE sensor (coupled to top ring) + laser Doppler vibrometry</t>
        </is>
      </c>
      <c r="L38" s="142" t="inlineStr">
        <is>
          <t>AE amplitude centre (Ac) and energy centre (Ec); comparison across speeds and viscosity</t>
        </is>
      </c>
      <c r="M38" s="142" t="inlineStr">
        <is>
          <t>None</t>
        </is>
      </c>
      <c r="N38" s="142" t="inlineStr">
        <is>
          <t>None</t>
        </is>
      </c>
      <c r="O38" s="123" t="inlineStr">
        <is>
          <t>H</t>
        </is>
      </c>
      <c r="P38" s="143" t="inlineStr">
        <is>
          <t>AE amplitude and energy centres classify lubrication states independently of rotational speed; applicable across full lubrication regime range.</t>
        </is>
      </c>
      <c r="Q38" s="126" t="n"/>
      <c r="R38" s="126" t="n"/>
      <c r="S38" s="125" t="inlineStr">
        <is>
          <t>✓</t>
        </is>
      </c>
      <c r="T38" s="126" t="n"/>
      <c r="U38" s="126" t="n"/>
      <c r="V38" s="126" t="n"/>
      <c r="W38" s="126" t="n"/>
      <c r="X38" s="126" t="n"/>
      <c r="Y38" s="125" t="inlineStr">
        <is>
          <t>✓</t>
        </is>
      </c>
      <c r="Z38" s="126" t="n"/>
      <c r="AA38" s="126" t="n"/>
      <c r="AB38" s="126" t="n"/>
      <c r="AC38" s="127" t="inlineStr">
        <is>
          <t>✓</t>
        </is>
      </c>
      <c r="AD38" s="126" t="n"/>
      <c r="AE38" s="126" t="n"/>
      <c r="AF38" s="126" t="n"/>
      <c r="AG38" s="126" t="n"/>
      <c r="AH38" s="126" t="n"/>
      <c r="AI38" s="126" t="n"/>
      <c r="AJ38" s="126" t="n"/>
    </row>
    <row r="39" ht="64.5" customHeight="1" s="109">
      <c r="A39" s="141" t="n">
        <v>37</v>
      </c>
      <c r="B39" s="142" t="inlineStr">
        <is>
          <t>Cornel et al.</t>
        </is>
      </c>
      <c r="C39" s="141" t="n">
        <v>2021</v>
      </c>
      <c r="D39" s="142" t="inlineStr">
        <is>
          <t>Condition monitoring of roller bearings using acoustic emission</t>
        </is>
      </c>
      <c r="E39" s="142" t="inlineStr">
        <is>
          <t>Cylindrical thrust 81212; plain bearing NU206</t>
        </is>
      </c>
      <c r="F39" s="142" t="inlineStr">
        <is>
          <t>ISO VG 100 (boundary/mixed/full film)</t>
        </is>
      </c>
      <c r="G39" s="142" t="inlineStr">
        <is>
          <t>Micro-pitting; smearing; scuffing; white etching cracks; film thickness</t>
        </is>
      </c>
      <c r="H39" s="142" t="inlineStr">
        <is>
          <t>Acoustic Emission</t>
        </is>
      </c>
      <c r="I39" s="144" t="inlineStr">
        <is>
          <t>Passive</t>
        </is>
      </c>
      <c r="J39" s="122" t="inlineStr">
        <is>
          <t>Semi-Invasive</t>
        </is>
      </c>
      <c r="K39" s="142" t="inlineStr">
        <is>
          <t>AE sensors + vibration sensors (comparison)</t>
        </is>
      </c>
      <c r="L39" s="142" t="inlineStr">
        <is>
          <t>RMS; Stribeck curves; mean frequency; spectral kurtosis; signal energy</t>
        </is>
      </c>
      <c r="M39" s="142" t="inlineStr">
        <is>
          <t>None</t>
        </is>
      </c>
      <c r="N39" s="142" t="inlineStr">
        <is>
          <t>None</t>
        </is>
      </c>
      <c r="O39" s="123" t="inlineStr">
        <is>
          <t>H</t>
        </is>
      </c>
      <c r="P39" s="143" t="inlineStr">
        <is>
          <t>AE detects lubrication-sensitive damage (micro-pitting, smearing) 4–8 hours earlier than vibration; sensitive to lubrication regime transitions.</t>
        </is>
      </c>
      <c r="Q39" s="126" t="n"/>
      <c r="R39" s="126" t="n"/>
      <c r="S39" s="125" t="inlineStr">
        <is>
          <t>✓</t>
        </is>
      </c>
      <c r="T39" s="125" t="inlineStr">
        <is>
          <t>✓</t>
        </is>
      </c>
      <c r="U39" s="126" t="n"/>
      <c r="V39" s="126" t="n"/>
      <c r="W39" s="126" t="n"/>
      <c r="X39" s="126" t="n"/>
      <c r="Y39" s="125" t="inlineStr">
        <is>
          <t>✓</t>
        </is>
      </c>
      <c r="Z39" s="127" t="inlineStr">
        <is>
          <t>✓</t>
        </is>
      </c>
      <c r="AA39" s="127" t="inlineStr">
        <is>
          <t>✓</t>
        </is>
      </c>
      <c r="AB39" s="126" t="n"/>
      <c r="AC39" s="127" t="inlineStr">
        <is>
          <t>✓</t>
        </is>
      </c>
      <c r="AD39" s="126" t="n"/>
      <c r="AE39" s="126" t="n"/>
      <c r="AF39" s="126" t="n"/>
      <c r="AG39" s="126" t="n"/>
      <c r="AH39" s="126" t="n"/>
      <c r="AI39" s="126" t="n"/>
      <c r="AJ39" s="126" t="n"/>
    </row>
    <row r="40" ht="64.5" customHeight="1" s="109">
      <c r="A40" s="141" t="n">
        <v>38</v>
      </c>
      <c r="B40" s="142" t="inlineStr">
        <is>
          <t>Scheeren et al.</t>
        </is>
      </c>
      <c r="C40" s="141" t="n">
        <v>2024</v>
      </c>
      <c r="D40" s="142" t="inlineStr">
        <is>
          <t>Influence of Grease Contamination on Acoustic Emission Monitoring of Low-Speed Roller Bearings</t>
        </is>
      </c>
      <c r="E40" s="142" t="inlineStr">
        <is>
          <t>Low-speed roller bearings (slew/bogie)</t>
        </is>
      </c>
      <c r="F40" s="142" t="inlineStr">
        <is>
          <t>Grease + particle contamination (abrasive/non-abrasive)</t>
        </is>
      </c>
      <c r="G40" s="142" t="inlineStr">
        <is>
          <t>Contamination effects; abrasive wear; corrosion; natural degradation</t>
        </is>
      </c>
      <c r="H40" s="142" t="inlineStr">
        <is>
          <t>Acoustic Emission</t>
        </is>
      </c>
      <c r="I40" s="144" t="inlineStr">
        <is>
          <t>Passive</t>
        </is>
      </c>
      <c r="J40" s="122" t="inlineStr">
        <is>
          <t>Semi-Invasive</t>
        </is>
      </c>
      <c r="K40" s="142" t="inlineStr">
        <is>
          <t>AE transducers 40–580 kHz (multi-channel); threshold-based detection</t>
        </is>
      </c>
      <c r="L40" s="142" t="inlineStr">
        <is>
          <t>Hit-rate normalisation (load-cycle based); SNR filtering (≥10–20 dB)</t>
        </is>
      </c>
      <c r="M40" s="142" t="inlineStr">
        <is>
          <t>None</t>
        </is>
      </c>
      <c r="N40" s="142" t="inlineStr">
        <is>
          <t>None</t>
        </is>
      </c>
      <c r="O40" s="123" t="inlineStr">
        <is>
          <t>H</t>
        </is>
      </c>
      <c r="P40" s="143" t="inlineStr">
        <is>
          <t>Abrasive particle contamination detected by AE hit-rate increase across all frequencies; non-abrasive particles indistinguishable from baseline—key discrimination result.</t>
        </is>
      </c>
      <c r="Q40" s="126" t="n"/>
      <c r="R40" s="126" t="n"/>
      <c r="S40" s="125" t="inlineStr">
        <is>
          <t>✓</t>
        </is>
      </c>
      <c r="T40" s="126" t="n"/>
      <c r="U40" s="126" t="n"/>
      <c r="V40" s="126" t="n"/>
      <c r="W40" s="126" t="n"/>
      <c r="X40" s="126" t="n"/>
      <c r="Y40" s="126" t="n"/>
      <c r="Z40" s="127" t="inlineStr">
        <is>
          <t>✓</t>
        </is>
      </c>
      <c r="AA40" s="126" t="n"/>
      <c r="AB40" s="126" t="n"/>
      <c r="AC40" s="127" t="inlineStr">
        <is>
          <t>✓</t>
        </is>
      </c>
      <c r="AD40" s="126" t="n"/>
      <c r="AE40" s="126" t="n"/>
      <c r="AF40" s="126" t="n"/>
      <c r="AG40" s="126" t="n"/>
      <c r="AH40" s="126" t="n"/>
      <c r="AI40" s="126" t="n"/>
      <c r="AJ40" s="126" t="n"/>
    </row>
    <row r="41" ht="64.5" customHeight="1" s="109">
      <c r="A41" s="141" t="n">
        <v>39</v>
      </c>
      <c r="B41" s="142" t="inlineStr">
        <is>
          <t>Renhart et al.</t>
        </is>
      </c>
      <c r="C41" s="141" t="n">
        <v>2021</v>
      </c>
      <c r="D41" s="142" t="inlineStr">
        <is>
          <t>Monitoring Tribological Events by Acoustic Emission Measurements for Bearing Contacts</t>
        </is>
      </c>
      <c r="E41" s="142" t="inlineStr">
        <is>
          <t>Journal bearing segments (120°)</t>
        </is>
      </c>
      <c r="F41" s="142" t="inlineStr">
        <is>
          <t>Oil bath</t>
        </is>
      </c>
      <c r="G41" s="142" t="inlineStr">
        <is>
          <t>Friction; wear mechanisms; stick-slip transitions; contact stresses</t>
        </is>
      </c>
      <c r="H41" s="142" t="inlineStr">
        <is>
          <t>Acoustic Emission</t>
        </is>
      </c>
      <c r="I41" s="144" t="inlineStr">
        <is>
          <t>Passive</t>
        </is>
      </c>
      <c r="J41" s="122" t="inlineStr">
        <is>
          <t>Semi-Invasive</t>
        </is>
      </c>
      <c r="K41" s="142" t="inlineStr">
        <is>
          <t>AE near contact + friction torque + temperature + contact potential + normal force</t>
        </is>
      </c>
      <c r="L41" s="142" t="inlineStr">
        <is>
          <t>1/n-octave filter bank (n=12, f₂=425 kHz); RMS; kurtosis; PSD×friction product</t>
        </is>
      </c>
      <c r="M41" s="142" t="inlineStr">
        <is>
          <t>None</t>
        </is>
      </c>
      <c r="N41" s="142" t="inlineStr">
        <is>
          <t>None</t>
        </is>
      </c>
      <c r="O41" s="123" t="inlineStr">
        <is>
          <t>H</t>
        </is>
      </c>
      <c r="P41" s="143" t="inlineStr">
        <is>
          <t>Two-stage wear mechanism validated by AE+multi-parameter fusion; proposes effective post-processing for AE-based tribological event characterisation.</t>
        </is>
      </c>
      <c r="Q41" s="126" t="n"/>
      <c r="R41" s="126" t="n"/>
      <c r="S41" s="125" t="inlineStr">
        <is>
          <t>✓</t>
        </is>
      </c>
      <c r="T41" s="126" t="n"/>
      <c r="U41" s="126" t="n"/>
      <c r="V41" s="125" t="inlineStr">
        <is>
          <t>✓</t>
        </is>
      </c>
      <c r="W41" s="126" t="n"/>
      <c r="X41" s="126" t="n"/>
      <c r="Y41" s="125" t="inlineStr">
        <is>
          <t>✓</t>
        </is>
      </c>
      <c r="Z41" s="127" t="inlineStr">
        <is>
          <t>✓</t>
        </is>
      </c>
      <c r="AA41" s="127" t="inlineStr">
        <is>
          <t>✓</t>
        </is>
      </c>
      <c r="AB41" s="126" t="n"/>
      <c r="AC41" s="127" t="inlineStr">
        <is>
          <t>✓</t>
        </is>
      </c>
      <c r="AD41" s="126" t="n"/>
      <c r="AE41" s="127" t="inlineStr">
        <is>
          <t>✓</t>
        </is>
      </c>
      <c r="AF41" s="126" t="n"/>
      <c r="AG41" s="126" t="n"/>
      <c r="AH41" s="126" t="n"/>
      <c r="AI41" s="126" t="n"/>
      <c r="AJ41" s="126" t="n"/>
    </row>
    <row r="42" ht="64.5" customHeight="1" s="109">
      <c r="A42" s="141" t="n">
        <v>40</v>
      </c>
      <c r="B42" s="142" t="inlineStr">
        <is>
          <t>Scheeren et al.</t>
        </is>
      </c>
      <c r="C42" s="141" t="n">
        <v>2023</v>
      </c>
      <c r="D42" s="142" t="inlineStr">
        <is>
          <t>Acoustic emission monitoring of naturally developed damage in large-scale low-speed roller bearings</t>
        </is>
      </c>
      <c r="E42" s="142" t="inlineStr">
        <is>
          <t>Large-scale roller bearing (linear segment)</t>
        </is>
      </c>
      <c r="F42" s="142" t="inlineStr">
        <is>
          <t>Grease</t>
        </is>
      </c>
      <c r="G42" s="142" t="inlineStr">
        <is>
          <t>Natural damage; wear; surface roughness; pitting; microcracking</t>
        </is>
      </c>
      <c r="H42" s="142" t="inlineStr">
        <is>
          <t>Acoustic Emission</t>
        </is>
      </c>
      <c r="I42" s="144" t="inlineStr">
        <is>
          <t>Passive</t>
        </is>
      </c>
      <c r="J42" s="122" t="inlineStr">
        <is>
          <t>Semi-Invasive</t>
        </is>
      </c>
      <c r="K42" s="142" t="inlineStr">
        <is>
          <t>AE arrays (3 frequency bands: 40–100, 95–180, 180–580 kHz); waveform recording</t>
        </is>
      </c>
      <c r="L42" s="142" t="inlineStr">
        <is>
          <t>1/n-octave filter bank; wavelet similarity clustering; cross-correlation clustering</t>
        </is>
      </c>
      <c r="M42" s="142" t="inlineStr">
        <is>
          <t>Waveform-similarity clustering (cross-correlation); event-building</t>
        </is>
      </c>
      <c r="N42" s="142" t="inlineStr">
        <is>
          <t>Classical ML</t>
        </is>
      </c>
      <c r="O42" s="123" t="inlineStr">
        <is>
          <t>H</t>
        </is>
      </c>
      <c r="P42" s="143" t="inlineStr">
        <is>
          <t>AE propagation analysis with waveform-similarity clustering achieves 93% similarity in localising damage sources in large-scale low-speed bearings.</t>
        </is>
      </c>
      <c r="Q42" s="126" t="n"/>
      <c r="R42" s="126" t="n"/>
      <c r="S42" s="125" t="inlineStr">
        <is>
          <t>✓</t>
        </is>
      </c>
      <c r="T42" s="126" t="n"/>
      <c r="U42" s="126" t="n"/>
      <c r="V42" s="126" t="n"/>
      <c r="W42" s="126" t="n"/>
      <c r="X42" s="126" t="n"/>
      <c r="Y42" s="126" t="n"/>
      <c r="Z42" s="127" t="inlineStr">
        <is>
          <t>✓</t>
        </is>
      </c>
      <c r="AA42" s="127" t="inlineStr">
        <is>
          <t>✓</t>
        </is>
      </c>
      <c r="AB42" s="126" t="n"/>
      <c r="AC42" s="127" t="inlineStr">
        <is>
          <t>✓</t>
        </is>
      </c>
      <c r="AD42" s="126" t="n"/>
      <c r="AE42" s="126" t="n"/>
      <c r="AF42" s="129" t="inlineStr">
        <is>
          <t>✓</t>
        </is>
      </c>
      <c r="AG42" s="126" t="n"/>
      <c r="AH42" s="126" t="n"/>
      <c r="AI42" s="126" t="n"/>
      <c r="AJ42" s="126" t="n"/>
    </row>
    <row r="43" ht="64.5" customHeight="1" s="109">
      <c r="A43" s="141" t="n">
        <v>41</v>
      </c>
      <c r="B43" s="142" t="inlineStr">
        <is>
          <t>Usgame Sandoval et al.</t>
        </is>
      </c>
      <c r="C43" s="141" t="n">
        <v>2013</v>
      </c>
      <c r="D43" s="142" t="inlineStr">
        <is>
          <t>Acoustic emission-based early fault detection in tapered roller bearings</t>
        </is>
      </c>
      <c r="E43" s="142" t="inlineStr">
        <is>
          <t>Tapered roller bearing 3203</t>
        </is>
      </c>
      <c r="F43" s="142" t="inlineStr">
        <is>
          <t>Not specified</t>
        </is>
      </c>
      <c r="G43" s="142" t="inlineStr">
        <is>
          <t>Surface crack formation; outer/inner race defects; fault severity progression</t>
        </is>
      </c>
      <c r="H43" s="142" t="inlineStr">
        <is>
          <t>Acoustic Emission</t>
        </is>
      </c>
      <c r="I43" s="144" t="inlineStr">
        <is>
          <t>Passive</t>
        </is>
      </c>
      <c r="J43" s="122" t="inlineStr">
        <is>
          <t>Semi-Invasive</t>
        </is>
      </c>
      <c r="K43" s="142" t="inlineStr">
        <is>
          <t>Piezoelectric AE transducer (1 V/mBar, 80 dB dynamic range; 2.5 MHz acquisition)</t>
        </is>
      </c>
      <c r="L43" s="142" t="inlineStr">
        <is>
          <t>Time-domain: peak, RMS, kurtosis, ring-down count; microscopy for fault imaging</t>
        </is>
      </c>
      <c r="M43" s="142" t="inlineStr">
        <is>
          <t>None</t>
        </is>
      </c>
      <c r="N43" s="142" t="inlineStr">
        <is>
          <t>None</t>
        </is>
      </c>
      <c r="O43" s="134" t="inlineStr">
        <is>
          <t>M</t>
        </is>
      </c>
      <c r="P43" s="143" t="inlineStr">
        <is>
          <t>AE peak value, RMS, and ring-down count distinguish early outer/inner race faults; kurtosis and ring-down count proportional to fault severity.</t>
        </is>
      </c>
      <c r="Q43" s="126" t="n"/>
      <c r="R43" s="126" t="n"/>
      <c r="S43" s="125" t="inlineStr">
        <is>
          <t>✓</t>
        </is>
      </c>
      <c r="T43" s="126" t="n"/>
      <c r="U43" s="126" t="n"/>
      <c r="V43" s="126" t="n"/>
      <c r="W43" s="126" t="n"/>
      <c r="X43" s="126" t="n"/>
      <c r="Y43" s="126" t="n"/>
      <c r="Z43" s="126" t="n"/>
      <c r="AA43" s="126" t="n"/>
      <c r="AB43" s="126" t="n"/>
      <c r="AC43" s="127" t="inlineStr">
        <is>
          <t>✓</t>
        </is>
      </c>
      <c r="AD43" s="126" t="n"/>
      <c r="AE43" s="126" t="n"/>
      <c r="AF43" s="126" t="n"/>
      <c r="AG43" s="126" t="n"/>
      <c r="AH43" s="126" t="n"/>
      <c r="AI43" s="126" t="n"/>
      <c r="AJ43" s="126" t="n"/>
    </row>
    <row r="44" ht="64.5" customHeight="1" s="109">
      <c r="A44" s="131" t="n">
        <v>42</v>
      </c>
      <c r="B44" s="132" t="inlineStr">
        <is>
          <t>Marticorena &amp; García Peyrano</t>
        </is>
      </c>
      <c r="C44" s="131" t="n">
        <v>2022</v>
      </c>
      <c r="D44" s="132" t="inlineStr">
        <is>
          <t>Rolling bearing condition monitoring technique based on cage rotation analysis and acoustic emission</t>
        </is>
      </c>
      <c r="E44" s="132" t="inlineStr">
        <is>
          <t>Ball bearing 6209 (10 balls)</t>
        </is>
      </c>
      <c r="F44" s="132" t="inlineStr">
        <is>
          <t>Oil (lambda ratio 0.5–2.0)</t>
        </is>
      </c>
      <c r="G44" s="132" t="inlineStr">
        <is>
          <t>Cage IAS; lubrication regime changes via cage dynamics; lambda ratio</t>
        </is>
      </c>
      <c r="H44" s="132" t="inlineStr">
        <is>
          <t>Acoustic Emission + Vibration</t>
        </is>
      </c>
      <c r="I44" s="144" t="inlineStr">
        <is>
          <t>Passive</t>
        </is>
      </c>
      <c r="J44" s="122" t="inlineStr">
        <is>
          <t>Semi-Invasive</t>
        </is>
      </c>
      <c r="K44" s="132" t="inlineStr">
        <is>
          <t>Cage magnetoresistive sensor + AE + accelerometer + thermocouple (4 sensors)</t>
        </is>
      </c>
      <c r="L44" s="132" t="inlineStr">
        <is>
          <t>Angular resampling; digital low-pass filter; EES; spectral correlation (SC); peak detection</t>
        </is>
      </c>
      <c r="M44" s="132" t="inlineStr">
        <is>
          <t>None</t>
        </is>
      </c>
      <c r="N44" s="132" t="inlineStr">
        <is>
          <t>None</t>
        </is>
      </c>
      <c r="O44" s="123" t="inlineStr">
        <is>
          <t>H</t>
        </is>
      </c>
      <c r="P44" s="133" t="inlineStr">
        <is>
          <t>Cage instantaneous angular speed (IAS) detects lubrication regime changes independently of load; correlates cage dynamics with film thickness and traction forces.</t>
        </is>
      </c>
      <c r="Q44" s="126" t="n"/>
      <c r="R44" s="126" t="n"/>
      <c r="S44" s="125" t="inlineStr">
        <is>
          <t>✓</t>
        </is>
      </c>
      <c r="T44" s="125" t="inlineStr">
        <is>
          <t>✓</t>
        </is>
      </c>
      <c r="U44" s="126" t="n"/>
      <c r="V44" s="125" t="inlineStr">
        <is>
          <t>✓</t>
        </is>
      </c>
      <c r="W44" s="126" t="n"/>
      <c r="X44" s="126" t="n"/>
      <c r="Y44" s="125" t="inlineStr">
        <is>
          <t>✓</t>
        </is>
      </c>
      <c r="Z44" s="127" t="inlineStr">
        <is>
          <t>✓</t>
        </is>
      </c>
      <c r="AA44" s="127" t="inlineStr">
        <is>
          <t>✓</t>
        </is>
      </c>
      <c r="AB44" s="127" t="inlineStr">
        <is>
          <t>✓</t>
        </is>
      </c>
      <c r="AC44" s="127" t="inlineStr">
        <is>
          <t>✓</t>
        </is>
      </c>
      <c r="AD44" s="126" t="n"/>
      <c r="AE44" s="127" t="inlineStr">
        <is>
          <t>✓</t>
        </is>
      </c>
      <c r="AF44" s="126" t="n"/>
      <c r="AG44" s="126" t="n"/>
      <c r="AH44" s="126" t="n"/>
      <c r="AI44" s="126" t="n"/>
      <c r="AJ44" s="126" t="n"/>
    </row>
    <row r="45" ht="64.5" customHeight="1" s="109">
      <c r="A45" s="141" t="n">
        <v>43</v>
      </c>
      <c r="B45" s="142" t="inlineStr">
        <is>
          <t>Zhang J. et al.</t>
        </is>
      </c>
      <c r="C45" s="141" t="n">
        <v>2025</v>
      </c>
      <c r="D45" s="142" t="inlineStr">
        <is>
          <t>Health Status Assessment of Passenger Ropeway Bearings Based on Multi-Parameter Acoustic Emission Analysis</t>
        </is>
      </c>
      <c r="E45" s="142" t="inlineStr">
        <is>
          <t>Spherical roller bearing 23138CA/W33</t>
        </is>
      </c>
      <c r="F45" s="142" t="inlineStr">
        <is>
          <t>Grease (low-speed operation)</t>
        </is>
      </c>
      <c r="G45" s="142" t="inlineStr">
        <is>
          <t>Wear; fatigue spalling; pitting; crack propagation; friction/lubrication failure</t>
        </is>
      </c>
      <c r="H45" s="142" t="inlineStr">
        <is>
          <t>Acoustic Emission</t>
        </is>
      </c>
      <c r="I45" s="144" t="inlineStr">
        <is>
          <t>Passive</t>
        </is>
      </c>
      <c r="J45" s="122" t="inlineStr">
        <is>
          <t>Semi-Invasive</t>
        </is>
      </c>
      <c r="K45" s="142" t="inlineStr">
        <is>
          <t>Broadband AE (VS45-H, 40–450 kHz) + resonant AE (VS150-RIC, 150 kHz)</t>
        </is>
      </c>
      <c r="L45" s="142" t="inlineStr">
        <is>
          <t>Waveform &amp; spectrum analysis; time-domain feature extraction; parameter analysis</t>
        </is>
      </c>
      <c r="M45" s="142" t="inlineStr">
        <is>
          <t>Paligamma LLM (pre-trained) for automated wear detection from AE images</t>
        </is>
      </c>
      <c r="N45" s="142" t="inlineStr">
        <is>
          <t>Hybrid DL</t>
        </is>
      </c>
      <c r="O45" s="134" t="inlineStr">
        <is>
          <t>M</t>
        </is>
      </c>
      <c r="P45" s="143" t="inlineStr">
        <is>
          <t>Resonant VS150-RIC sensors superior to broadband for ropeway bearing defect detection; Paligamma LLM achieves automated wear detection from AE signal images.</t>
        </is>
      </c>
      <c r="Q45" s="126" t="n"/>
      <c r="R45" s="126" t="n"/>
      <c r="S45" s="125" t="inlineStr">
        <is>
          <t>✓</t>
        </is>
      </c>
      <c r="T45" s="126" t="n"/>
      <c r="U45" s="126" t="n"/>
      <c r="V45" s="126" t="n"/>
      <c r="W45" s="126" t="n"/>
      <c r="X45" s="126" t="n"/>
      <c r="Y45" s="126" t="n"/>
      <c r="Z45" s="127" t="inlineStr">
        <is>
          <t>✓</t>
        </is>
      </c>
      <c r="AA45" s="126" t="n"/>
      <c r="AB45" s="126" t="n"/>
      <c r="AC45" s="127" t="inlineStr">
        <is>
          <t>✓</t>
        </is>
      </c>
      <c r="AD45" s="126" t="n"/>
      <c r="AE45" s="126" t="n"/>
      <c r="AF45" s="126" t="n"/>
      <c r="AG45" s="129" t="inlineStr">
        <is>
          <t>✓</t>
        </is>
      </c>
      <c r="AH45" s="126" t="n"/>
      <c r="AI45" s="126" t="n"/>
      <c r="AJ45" s="126" t="n"/>
    </row>
    <row r="46" ht="64.5" customHeight="1" s="109">
      <c r="A46" s="141" t="n">
        <v>44</v>
      </c>
      <c r="B46" s="142" t="inlineStr">
        <is>
          <t>Krishnamoorthy et al.</t>
        </is>
      </c>
      <c r="C46" s="141" t="n">
        <v>2024</v>
      </c>
      <c r="D46" s="142" t="inlineStr">
        <is>
          <t>Mapping Acoustic Frictional Properties of Self-Lubricating Epoxy-Coated Bearing Steel with Acoustic Emissions during Friction Test</t>
        </is>
      </c>
      <c r="E46" s="142" t="inlineStr">
        <is>
          <t>Sliding contacts (epoxy-coated EN 8 / EN 31 ball)</t>
        </is>
      </c>
      <c r="F46" s="142" t="inlineStr">
        <is>
          <t>Self-lubricating epoxy coatings (graphite/hBN/talc)</t>
        </is>
      </c>
      <c r="G46" s="142" t="inlineStr">
        <is>
          <t>Stick-slip; friction coefficient; frictional properties of coated surfaces; wear</t>
        </is>
      </c>
      <c r="H46" s="142" t="inlineStr">
        <is>
          <t>Acoustic Emission</t>
        </is>
      </c>
      <c r="I46" s="144" t="inlineStr">
        <is>
          <t>Passive</t>
        </is>
      </c>
      <c r="J46" s="122" t="inlineStr">
        <is>
          <t>Semi-Invasive</t>
        </is>
      </c>
      <c r="K46" s="142" t="inlineStr">
        <is>
          <t>AE sensor + reciprocating tribometer</t>
        </is>
      </c>
      <c r="L46" s="142" t="inlineStr">
        <is>
          <t>RMS; COF correlation</t>
        </is>
      </c>
      <c r="M46" s="142" t="inlineStr">
        <is>
          <t>None</t>
        </is>
      </c>
      <c r="N46" s="142" t="inlineStr">
        <is>
          <t>None</t>
        </is>
      </c>
      <c r="O46" s="134" t="inlineStr">
        <is>
          <t>M</t>
        </is>
      </c>
      <c r="P46" s="143" t="inlineStr">
        <is>
          <t>AE signals correlate with friction coefficient to detect stick-slip in self-lubricating solid-lubricated coatings; demonstrates AE for solid lubricant characterisation.</t>
        </is>
      </c>
      <c r="Q46" s="126" t="n"/>
      <c r="R46" s="126" t="n"/>
      <c r="S46" s="125" t="inlineStr">
        <is>
          <t>✓</t>
        </is>
      </c>
      <c r="T46" s="126" t="n"/>
      <c r="U46" s="126" t="n"/>
      <c r="V46" s="126" t="n"/>
      <c r="W46" s="126" t="n"/>
      <c r="X46" s="126" t="n"/>
      <c r="Y46" s="126" t="n"/>
      <c r="Z46" s="126" t="n"/>
      <c r="AA46" s="126" t="n"/>
      <c r="AB46" s="126" t="n"/>
      <c r="AC46" s="127" t="inlineStr">
        <is>
          <t>✓</t>
        </is>
      </c>
      <c r="AD46" s="126" t="n"/>
      <c r="AE46" s="126" t="n"/>
      <c r="AF46" s="126" t="n"/>
      <c r="AG46" s="126" t="n"/>
      <c r="AH46" s="126" t="n"/>
      <c r="AI46" s="126" t="n"/>
      <c r="AJ46" s="126" t="n"/>
    </row>
    <row r="47" ht="64.5" customHeight="1" s="109">
      <c r="A47" s="145" t="n">
        <v>45</v>
      </c>
      <c r="B47" s="146" t="inlineStr">
        <is>
          <t>Jakobsen et al.</t>
        </is>
      </c>
      <c r="C47" s="145" t="n">
        <v>2023</v>
      </c>
      <c r="D47" s="146" t="inlineStr">
        <is>
          <t>Detecting insufficient lubrication in rolling bearings, using a low cost MEMS microphone to measure vibrations</t>
        </is>
      </c>
      <c r="E47" s="146" t="inlineStr">
        <is>
          <t>Ball bearing SKF 6208 / NU206</t>
        </is>
      </c>
      <c r="F47" s="146" t="inlineStr">
        <is>
          <t>Grease (varying κ, ISO VG)</t>
        </is>
      </c>
      <c r="G47" s="146" t="inlineStr">
        <is>
          <t>Insufficient lubrication; viscosity ratio κ; film thickness; asperity contact</t>
        </is>
      </c>
      <c r="H47" s="146" t="inlineStr">
        <is>
          <t>Vibration/Acoustic (MEMS)</t>
        </is>
      </c>
      <c r="I47" s="144" t="inlineStr">
        <is>
          <t>Passive</t>
        </is>
      </c>
      <c r="J47" s="147" t="inlineStr">
        <is>
          <t>Non-Invasive</t>
        </is>
      </c>
      <c r="K47" s="146" t="inlineStr">
        <is>
          <t>Low-cost MEMS microphone; ultrasonic prototype sensor; temperature + speed sensors</t>
        </is>
      </c>
      <c r="L47" s="146" t="inlineStr">
        <is>
          <t>Hjorth parameters; viscosity ratio κ calculation; band-pass/high-pass filtering; time-domain features</t>
        </is>
      </c>
      <c r="M47" s="146" t="inlineStr">
        <is>
          <t>Linear regression; 2-layer neural network for κ prediction</t>
        </is>
      </c>
      <c r="N47" s="146" t="inlineStr">
        <is>
          <t>Classical ML</t>
        </is>
      </c>
      <c r="O47" s="123" t="inlineStr">
        <is>
          <t>H</t>
        </is>
      </c>
      <c r="P47" s="148" t="inlineStr">
        <is>
          <t>Low-cost MEMS microphone detects insufficient lubrication; Hjorth parameters + neural network predict viscosity ratio κ at 1000–3000 rpm without speed measurement.</t>
        </is>
      </c>
      <c r="Q47" s="126" t="n"/>
      <c r="R47" s="126" t="n"/>
      <c r="S47" s="126" t="n"/>
      <c r="T47" s="125" t="inlineStr">
        <is>
          <t>✓</t>
        </is>
      </c>
      <c r="U47" s="126" t="n"/>
      <c r="V47" s="125" t="inlineStr">
        <is>
          <t>✓</t>
        </is>
      </c>
      <c r="W47" s="126" t="n"/>
      <c r="X47" s="126" t="n"/>
      <c r="Y47" s="125" t="inlineStr">
        <is>
          <t>✓</t>
        </is>
      </c>
      <c r="Z47" s="127" t="inlineStr">
        <is>
          <t>✓</t>
        </is>
      </c>
      <c r="AA47" s="126" t="n"/>
      <c r="AB47" s="126" t="n"/>
      <c r="AC47" s="127" t="inlineStr">
        <is>
          <t>✓</t>
        </is>
      </c>
      <c r="AD47" s="126" t="n"/>
      <c r="AE47" s="126" t="n"/>
      <c r="AF47" s="129" t="inlineStr">
        <is>
          <t>✓</t>
        </is>
      </c>
      <c r="AG47" s="126" t="n"/>
      <c r="AH47" s="126" t="n"/>
      <c r="AI47" s="126" t="n"/>
      <c r="AJ47" s="126" t="n"/>
    </row>
    <row r="48" ht="64.5" customHeight="1" s="109">
      <c r="A48" s="131" t="n">
        <v>46</v>
      </c>
      <c r="B48" s="132" t="inlineStr">
        <is>
          <t>Tandon et al.</t>
        </is>
      </c>
      <c r="C48" s="131" t="n">
        <v>2006</v>
      </c>
      <c r="D48" s="132" t="inlineStr">
        <is>
          <t>Condition monitoring of electric motor ball bearings for the detection of grease contaminants</t>
        </is>
      </c>
      <c r="E48" s="132" t="inlineStr">
        <is>
          <t>SKF 6205 ball bearing</t>
        </is>
      </c>
      <c r="F48" s="132" t="inlineStr">
        <is>
          <t>Grease + silica/ferric oxide contaminants</t>
        </is>
      </c>
      <c r="G48" s="132" t="inlineStr">
        <is>
          <t>Contamination effects; vibration; AE; shock pulse; stator current</t>
        </is>
      </c>
      <c r="H48" s="132" t="inlineStr">
        <is>
          <t>Vibration + AE</t>
        </is>
      </c>
      <c r="I48" s="144" t="inlineStr">
        <is>
          <t>Passive</t>
        </is>
      </c>
      <c r="J48" s="122" t="inlineStr">
        <is>
          <t>Semi-Invasive</t>
        </is>
      </c>
      <c r="K48" s="132" t="inlineStr">
        <is>
          <t>Accelerometer + stator current + AE sensor + shock pulse sensor (4 sensors)</t>
        </is>
      </c>
      <c r="L48" s="132" t="inlineStr">
        <is>
          <t>FFT; carpet value calculations; shock pulse method</t>
        </is>
      </c>
      <c r="M48" s="132" t="inlineStr">
        <is>
          <t>None</t>
        </is>
      </c>
      <c r="N48" s="132" t="inlineStr">
        <is>
          <t>None</t>
        </is>
      </c>
      <c r="O48" s="123" t="inlineStr">
        <is>
          <t>H</t>
        </is>
      </c>
      <c r="P48" s="133" t="inlineStr">
        <is>
          <t>AE and shock pulse sensors most effective for detecting grease contamination; provides benchmark parameters for incipient fault detection with graded particle sizes.</t>
        </is>
      </c>
      <c r="Q48" s="126" t="n"/>
      <c r="R48" s="126" t="n"/>
      <c r="S48" s="125" t="inlineStr">
        <is>
          <t>✓</t>
        </is>
      </c>
      <c r="T48" s="125" t="inlineStr">
        <is>
          <t>✓</t>
        </is>
      </c>
      <c r="U48" s="126" t="n"/>
      <c r="V48" s="126" t="n"/>
      <c r="W48" s="126" t="n"/>
      <c r="X48" s="126" t="n"/>
      <c r="Y48" s="125" t="inlineStr">
        <is>
          <t>✓</t>
        </is>
      </c>
      <c r="Z48" s="127" t="inlineStr">
        <is>
          <t>✓</t>
        </is>
      </c>
      <c r="AA48" s="126" t="n"/>
      <c r="AB48" s="126" t="n"/>
      <c r="AC48" s="127" t="inlineStr">
        <is>
          <t>✓</t>
        </is>
      </c>
      <c r="AD48" s="126" t="n"/>
      <c r="AE48" s="126" t="n"/>
      <c r="AF48" s="126" t="n"/>
      <c r="AG48" s="126" t="n"/>
      <c r="AH48" s="126" t="n"/>
      <c r="AI48" s="126" t="n"/>
      <c r="AJ48" s="126" t="n"/>
    </row>
    <row r="49" ht="64.5" customHeight="1" s="109">
      <c r="A49" s="145" t="n">
        <v>47</v>
      </c>
      <c r="B49" s="146" t="inlineStr">
        <is>
          <t>Jakobsen et al.</t>
        </is>
      </c>
      <c r="C49" s="145" t="n">
        <v>2021</v>
      </c>
      <c r="D49" s="146" t="inlineStr">
        <is>
          <t>Vibration signatures in ball bearings as a function of lubricant viscosity ratio κ, under alternating lubrication conditions</t>
        </is>
      </c>
      <c r="E49" s="146" t="inlineStr">
        <is>
          <t>NSK 6208 ball bearing</t>
        </is>
      </c>
      <c r="F49" s="146" t="inlineStr">
        <is>
          <t>Grease (lithium synthetic, varying κ)</t>
        </is>
      </c>
      <c r="G49" s="146" t="inlineStr">
        <is>
          <t>Vibration under insufficient/good lubrication; spectral signature vs. κ</t>
        </is>
      </c>
      <c r="H49" s="146" t="inlineStr">
        <is>
          <t>Vibration</t>
        </is>
      </c>
      <c r="I49" s="144" t="inlineStr">
        <is>
          <t>Passive</t>
        </is>
      </c>
      <c r="J49" s="122" t="inlineStr">
        <is>
          <t>Semi-Invasive</t>
        </is>
      </c>
      <c r="K49" s="146" t="inlineStr">
        <is>
          <t>Piezoelectric accelerometer 50 kHz; reflective speed sensor; thermometer</t>
        </is>
      </c>
      <c r="L49" s="146" t="inlineStr">
        <is>
          <t>STFT; spectral kurtosis (SK); band energy analysis</t>
        </is>
      </c>
      <c r="M49" s="146" t="inlineStr">
        <is>
          <t>None – SK as discriminative feature</t>
        </is>
      </c>
      <c r="N49" s="146" t="inlineStr">
        <is>
          <t>None</t>
        </is>
      </c>
      <c r="O49" s="123" t="inlineStr">
        <is>
          <t>H</t>
        </is>
      </c>
      <c r="P49" s="148" t="inlineStr">
        <is>
          <t>Demonstrates correlation between viscosity ratio κ and spectral kurtosis signature; SK detects lightly lubricated conditions without speed measurement baseline.</t>
        </is>
      </c>
      <c r="Q49" s="126" t="n"/>
      <c r="R49" s="126" t="n"/>
      <c r="S49" s="126" t="n"/>
      <c r="T49" s="125" t="inlineStr">
        <is>
          <t>✓</t>
        </is>
      </c>
      <c r="U49" s="126" t="n"/>
      <c r="V49" s="125" t="inlineStr">
        <is>
          <t>✓</t>
        </is>
      </c>
      <c r="W49" s="126" t="n"/>
      <c r="X49" s="126" t="n"/>
      <c r="Y49" s="126" t="n"/>
      <c r="Z49" s="127" t="inlineStr">
        <is>
          <t>✓</t>
        </is>
      </c>
      <c r="AA49" s="127" t="inlineStr">
        <is>
          <t>✓</t>
        </is>
      </c>
      <c r="AB49" s="127" t="inlineStr">
        <is>
          <t>✓</t>
        </is>
      </c>
      <c r="AC49" s="127" t="inlineStr">
        <is>
          <t>✓</t>
        </is>
      </c>
      <c r="AD49" s="126" t="n"/>
      <c r="AE49" s="126" t="n"/>
      <c r="AF49" s="126" t="n"/>
      <c r="AG49" s="126" t="n"/>
      <c r="AH49" s="126" t="n"/>
      <c r="AI49" s="126" t="n"/>
      <c r="AJ49" s="126" t="n"/>
    </row>
    <row r="50" ht="64.5" customHeight="1" s="109">
      <c r="A50" s="145" t="n">
        <v>48</v>
      </c>
      <c r="B50" s="146" t="inlineStr">
        <is>
          <t>Xu et al.</t>
        </is>
      </c>
      <c r="C50" s="145" t="n">
        <v>2024</v>
      </c>
      <c r="D50" s="146" t="inlineStr">
        <is>
          <t>Vibration-based identification of lubrication starved bearing using spectral centroid indicator combined with minimum entropy deconvolution</t>
        </is>
      </c>
      <c r="E50" s="146" t="inlineStr">
        <is>
          <t>SKF 6306 ball bearing</t>
        </is>
      </c>
      <c r="F50" s="146" t="inlineStr">
        <is>
          <t>Grease (starved vs. proper)</t>
        </is>
      </c>
      <c r="G50" s="146" t="inlineStr">
        <is>
          <t>Metal-to-metal contact impulses; random impulses from starved lubrication</t>
        </is>
      </c>
      <c r="H50" s="146" t="inlineStr">
        <is>
          <t>Vibration</t>
        </is>
      </c>
      <c r="I50" s="144" t="inlineStr">
        <is>
          <t>Passive</t>
        </is>
      </c>
      <c r="J50" s="122" t="inlineStr">
        <is>
          <t>Semi-Invasive</t>
        </is>
      </c>
      <c r="K50" s="146" t="inlineStr">
        <is>
          <t>Accelerometer on bearing housing</t>
        </is>
      </c>
      <c r="L50" s="146" t="inlineStr">
        <is>
          <t>Minimum Entropy Deconvolution (MED); spectral centroid indicator (SCI)</t>
        </is>
      </c>
      <c r="M50" s="146" t="inlineStr">
        <is>
          <t>None</t>
        </is>
      </c>
      <c r="N50" s="146" t="inlineStr">
        <is>
          <t>None</t>
        </is>
      </c>
      <c r="O50" s="123" t="inlineStr">
        <is>
          <t>H</t>
        </is>
      </c>
      <c r="P50" s="148" t="inlineStr">
        <is>
          <t>MED+SCI-based Starved Lubrication Feature (SLF) achieves Davies–Bouldin index 0.042 vs. 0.59 for RMS; effectively separates starved from normal lubrication.</t>
        </is>
      </c>
      <c r="Q50" s="126" t="n"/>
      <c r="R50" s="126" t="n"/>
      <c r="S50" s="126" t="n"/>
      <c r="T50" s="125" t="inlineStr">
        <is>
          <t>✓</t>
        </is>
      </c>
      <c r="U50" s="126" t="n"/>
      <c r="V50" s="126" t="n"/>
      <c r="W50" s="126" t="n"/>
      <c r="X50" s="126" t="n"/>
      <c r="Y50" s="126" t="n"/>
      <c r="Z50" s="127" t="inlineStr">
        <is>
          <t>✓</t>
        </is>
      </c>
      <c r="AA50" s="126" t="n"/>
      <c r="AB50" s="127" t="inlineStr">
        <is>
          <t>✓</t>
        </is>
      </c>
      <c r="AC50" s="127" t="inlineStr">
        <is>
          <t>✓</t>
        </is>
      </c>
      <c r="AD50" s="126" t="n"/>
      <c r="AE50" s="126" t="n"/>
      <c r="AF50" s="126" t="n"/>
      <c r="AG50" s="126" t="n"/>
      <c r="AH50" s="126" t="n"/>
      <c r="AI50" s="126" t="n"/>
      <c r="AJ50" s="126" t="n"/>
    </row>
    <row r="51" ht="64.5" customHeight="1" s="109">
      <c r="A51" s="145" t="n">
        <v>49</v>
      </c>
      <c r="B51" s="146" t="inlineStr">
        <is>
          <t>Sahu &amp; Rai</t>
        </is>
      </c>
      <c r="C51" s="145" t="n">
        <v>2022</v>
      </c>
      <c r="D51" s="146" t="inlineStr">
        <is>
          <t>Grease Contamination Detection in the Rolling Element Bearing using deep learning technique</t>
        </is>
      </c>
      <c r="E51" s="146" t="inlineStr">
        <is>
          <t>SKF YET-012F ball bearing</t>
        </is>
      </c>
      <c r="F51" s="146" t="inlineStr">
        <is>
          <t>Grease + sand particle contaminants (50–100 mg)</t>
        </is>
      </c>
      <c r="G51" s="146" t="inlineStr">
        <is>
          <t>Vibration from contamination-induced surface contact; spectral energy changes</t>
        </is>
      </c>
      <c r="H51" s="146" t="inlineStr">
        <is>
          <t>Vibration</t>
        </is>
      </c>
      <c r="I51" s="144" t="inlineStr">
        <is>
          <t>Passive</t>
        </is>
      </c>
      <c r="J51" s="122" t="inlineStr">
        <is>
          <t>Semi-Invasive</t>
        </is>
      </c>
      <c r="K51" s="146" t="inlineStr">
        <is>
          <t>Piezoelectric accelerometer (20 kHz sampling)</t>
        </is>
      </c>
      <c r="L51" s="146" t="inlineStr">
        <is>
          <t>FFT; STFT; spectrogram generation</t>
        </is>
      </c>
      <c r="M51" s="146" t="inlineStr">
        <is>
          <t>CNN-VGG16 deep learning; SVM (RBF kernel) comparison</t>
        </is>
      </c>
      <c r="N51" s="146" t="inlineStr">
        <is>
          <t>CNN</t>
        </is>
      </c>
      <c r="O51" s="123" t="inlineStr">
        <is>
          <t>H</t>
        </is>
      </c>
      <c r="P51" s="148" t="inlineStr">
        <is>
          <t>CNN-VGG16 achieves 98.33% grease contamination detection accuracy; RMS feature reflects contamination energy; outperforms SVM significantly.</t>
        </is>
      </c>
      <c r="Q51" s="126" t="n"/>
      <c r="R51" s="126" t="n"/>
      <c r="S51" s="126" t="n"/>
      <c r="T51" s="125" t="inlineStr">
        <is>
          <t>✓</t>
        </is>
      </c>
      <c r="U51" s="126" t="n"/>
      <c r="V51" s="126" t="n"/>
      <c r="W51" s="126" t="n"/>
      <c r="X51" s="126" t="n"/>
      <c r="Y51" s="126" t="n"/>
      <c r="Z51" s="127" t="inlineStr">
        <is>
          <t>✓</t>
        </is>
      </c>
      <c r="AA51" s="127" t="inlineStr">
        <is>
          <t>✓</t>
        </is>
      </c>
      <c r="AB51" s="126" t="n"/>
      <c r="AC51" s="127" t="inlineStr">
        <is>
          <t>✓</t>
        </is>
      </c>
      <c r="AD51" s="126" t="n"/>
      <c r="AE51" s="126" t="n"/>
      <c r="AF51" s="129" t="inlineStr">
        <is>
          <t>✓</t>
        </is>
      </c>
      <c r="AG51" s="129" t="inlineStr">
        <is>
          <t>✓</t>
        </is>
      </c>
      <c r="AH51" s="126" t="n"/>
      <c r="AI51" s="126" t="n"/>
      <c r="AJ51" s="126" t="n"/>
    </row>
    <row r="52" ht="64.5" customHeight="1" s="109">
      <c r="A52" s="145" t="n">
        <v>50</v>
      </c>
      <c r="B52" s="146" t="inlineStr">
        <is>
          <t>McFadden &amp; Smith</t>
        </is>
      </c>
      <c r="C52" s="145" t="n">
        <v>1984</v>
      </c>
      <c r="D52" s="146" t="inlineStr">
        <is>
          <t>Vibration monitoring of rolling element bearings by the high-frequency resonance technique – a review</t>
        </is>
      </c>
      <c r="E52" s="146" t="inlineStr">
        <is>
          <t>Rolling element bearings (review)</t>
        </is>
      </c>
      <c r="F52" s="146" t="inlineStr">
        <is>
          <t>Not specified</t>
        </is>
      </c>
      <c r="G52" s="146" t="inlineStr">
        <is>
          <t>Vibration impulses; defect frequencies; resonance excitation; BCF</t>
        </is>
      </c>
      <c r="H52" s="146" t="inlineStr">
        <is>
          <t>Vibration</t>
        </is>
      </c>
      <c r="I52" s="144" t="inlineStr">
        <is>
          <t>Passive</t>
        </is>
      </c>
      <c r="J52" s="122" t="inlineStr">
        <is>
          <t>Semi-Invasive</t>
        </is>
      </c>
      <c r="K52" s="146" t="inlineStr">
        <is>
          <t>Piezoelectric accelerometer (10–250 kHz)</t>
        </is>
      </c>
      <c r="L52" s="146" t="inlineStr">
        <is>
          <t>Bandpass filtering; envelope detection; narrowband spectrum; crest factor; cepstrum</t>
        </is>
      </c>
      <c r="M52" s="146" t="inlineStr">
        <is>
          <t>None</t>
        </is>
      </c>
      <c r="N52" s="146" t="inlineStr">
        <is>
          <t>None</t>
        </is>
      </c>
      <c r="O52" s="149" t="inlineStr">
        <is>
          <t>L</t>
        </is>
      </c>
      <c r="P52" s="148" t="inlineStr">
        <is>
          <t>Foundational review of High-Frequency Resonance Technique (HFRT); establishes envelope spectrum procedures for bearing defect frequency detection.</t>
        </is>
      </c>
      <c r="Q52" s="126" t="n"/>
      <c r="R52" s="126" t="n"/>
      <c r="S52" s="126" t="n"/>
      <c r="T52" s="125" t="inlineStr">
        <is>
          <t>✓</t>
        </is>
      </c>
      <c r="U52" s="126" t="n"/>
      <c r="V52" s="126" t="n"/>
      <c r="W52" s="126" t="n"/>
      <c r="X52" s="126" t="n"/>
      <c r="Y52" s="126" t="n"/>
      <c r="Z52" s="127" t="inlineStr">
        <is>
          <t>✓</t>
        </is>
      </c>
      <c r="AA52" s="126" t="n"/>
      <c r="AB52" s="127" t="inlineStr">
        <is>
          <t>✓</t>
        </is>
      </c>
      <c r="AC52" s="127" t="inlineStr">
        <is>
          <t>✓</t>
        </is>
      </c>
      <c r="AD52" s="126" t="n"/>
      <c r="AE52" s="126" t="n"/>
      <c r="AF52" s="126" t="n"/>
      <c r="AG52" s="126" t="n"/>
      <c r="AH52" s="126" t="n"/>
      <c r="AI52" s="126" t="n"/>
      <c r="AJ52" s="126" t="n"/>
    </row>
    <row r="53" ht="64.5" customHeight="1" s="109">
      <c r="A53" s="138" t="n">
        <v>51</v>
      </c>
      <c r="B53" s="139" t="inlineStr">
        <is>
          <t>Janssens et al.</t>
        </is>
      </c>
      <c r="C53" s="138" t="n">
        <v>2015</v>
      </c>
      <c r="D53" s="139" t="inlineStr">
        <is>
          <t>Thermal image based fault diagnosis for rotating machinery</t>
        </is>
      </c>
      <c r="E53" s="139" t="inlineStr">
        <is>
          <t>Spherical roller bearing (tapered bore)</t>
        </is>
      </c>
      <c r="F53" s="139" t="inlineStr">
        <is>
          <t>Grease (2.5 g and 20 g)</t>
        </is>
      </c>
      <c r="G53" s="139" t="inlineStr">
        <is>
          <t>Temperature rise; thermal patterns; bearing fault types (ORF, EILB, MILB)</t>
        </is>
      </c>
      <c r="H53" s="139" t="inlineStr">
        <is>
          <t>Thermal/IR</t>
        </is>
      </c>
      <c r="I53" s="144" t="inlineStr">
        <is>
          <t>Passive</t>
        </is>
      </c>
      <c r="J53" s="147" t="inlineStr">
        <is>
          <t>Non-Invasive</t>
        </is>
      </c>
      <c r="K53" s="139" t="inlineStr">
        <is>
          <t>IR thermal imaging (FLIR SC655) + thermocouples</t>
        </is>
      </c>
      <c r="L53" s="139" t="inlineStr">
        <is>
          <t>Image preprocessing; frame sub-sampling; histogram; feature extraction (std dev, moments); windowing</t>
        </is>
      </c>
      <c r="M53" s="139" t="inlineStr">
        <is>
          <t>SVM classifier; PCA dimensionality reduction</t>
        </is>
      </c>
      <c r="N53" s="139" t="inlineStr">
        <is>
          <t>Classical ML</t>
        </is>
      </c>
      <c r="O53" s="134" t="inlineStr">
        <is>
          <t>M</t>
        </is>
      </c>
      <c r="P53" s="140" t="inlineStr">
        <is>
          <t>IR imaging with two-pipeline SVM architecture classifies bearing faults at 88.25% accuracy; frame sub-sampling reduces data requirements.</t>
        </is>
      </c>
      <c r="Q53" s="126" t="n"/>
      <c r="R53" s="126" t="n"/>
      <c r="S53" s="126" t="n"/>
      <c r="T53" s="126" t="n"/>
      <c r="U53" s="126" t="n"/>
      <c r="V53" s="125" t="inlineStr">
        <is>
          <t>✓</t>
        </is>
      </c>
      <c r="W53" s="126" t="n"/>
      <c r="X53" s="126" t="n"/>
      <c r="Y53" s="126" t="n"/>
      <c r="Z53" s="126" t="n"/>
      <c r="AA53" s="126" t="n"/>
      <c r="AB53" s="126" t="n"/>
      <c r="AC53" s="127" t="inlineStr">
        <is>
          <t>✓</t>
        </is>
      </c>
      <c r="AD53" s="126" t="n"/>
      <c r="AE53" s="126" t="n"/>
      <c r="AF53" s="129" t="inlineStr">
        <is>
          <t>✓</t>
        </is>
      </c>
      <c r="AG53" s="126" t="n"/>
      <c r="AH53" s="126" t="n"/>
      <c r="AI53" s="126" t="n"/>
      <c r="AJ53" s="126" t="n"/>
    </row>
    <row r="54" ht="64.5" customHeight="1" s="109">
      <c r="A54" s="138" t="n">
        <v>52</v>
      </c>
      <c r="B54" s="139" t="inlineStr">
        <is>
          <t>Moussa</t>
        </is>
      </c>
      <c r="C54" s="138" t="n">
        <v>2017</v>
      </c>
      <c r="D54" s="139" t="inlineStr">
        <is>
          <t>A Passive Thermography Approach to Bearing Condition Monitoring</t>
        </is>
      </c>
      <c r="E54" s="139" t="inlineStr">
        <is>
          <t>Ball bearings (antifriction)</t>
        </is>
      </c>
      <c r="F54" s="139" t="inlineStr">
        <is>
          <t>Grease and oil</t>
        </is>
      </c>
      <c r="G54" s="139" t="inlineStr">
        <is>
          <t>Temperature differences; transient thermal behaviour; thermal signatures vs. lubrication</t>
        </is>
      </c>
      <c r="H54" s="139" t="inlineStr">
        <is>
          <t>Thermal/IR</t>
        </is>
      </c>
      <c r="I54" s="144" t="inlineStr">
        <is>
          <t>Passive</t>
        </is>
      </c>
      <c r="J54" s="147" t="inlineStr">
        <is>
          <t>Non-Invasive</t>
        </is>
      </c>
      <c r="K54" s="139" t="inlineStr">
        <is>
          <t>Passive IR thermography camera; thermal video recording</t>
        </is>
      </c>
      <c r="L54" s="139" t="inlineStr">
        <is>
          <t>Temperature rise curve analysis; differential frame analysis; Otsu thresholding; relative temperature transform</t>
        </is>
      </c>
      <c r="M54" s="139" t="inlineStr">
        <is>
          <t>None</t>
        </is>
      </c>
      <c r="N54" s="139" t="inlineStr">
        <is>
          <t>None</t>
        </is>
      </c>
      <c r="O54" s="134" t="inlineStr">
        <is>
          <t>M</t>
        </is>
      </c>
      <c r="P54" s="140" t="inlineStr">
        <is>
          <t>Temperature rise difference method detects bearing faults early; distinguishes physical damages from lubrication issues without vibration analysis at speeds up to 20 000 rpm.</t>
        </is>
      </c>
      <c r="Q54" s="126" t="n"/>
      <c r="R54" s="126" t="n"/>
      <c r="S54" s="126" t="n"/>
      <c r="T54" s="126" t="n"/>
      <c r="U54" s="126" t="n"/>
      <c r="V54" s="125" t="inlineStr">
        <is>
          <t>✓</t>
        </is>
      </c>
      <c r="W54" s="126" t="n"/>
      <c r="X54" s="126" t="n"/>
      <c r="Y54" s="126" t="n"/>
      <c r="Z54" s="126" t="n"/>
      <c r="AA54" s="126" t="n"/>
      <c r="AB54" s="126" t="n"/>
      <c r="AC54" s="127" t="inlineStr">
        <is>
          <t>✓</t>
        </is>
      </c>
      <c r="AD54" s="126" t="n"/>
      <c r="AE54" s="126" t="n"/>
      <c r="AF54" s="126" t="n"/>
      <c r="AG54" s="126" t="n"/>
      <c r="AH54" s="126" t="n"/>
      <c r="AI54" s="126" t="n"/>
      <c r="AJ54" s="126" t="n"/>
    </row>
    <row r="55" ht="64.5" customHeight="1" s="109">
      <c r="A55" s="138" t="n">
        <v>53</v>
      </c>
      <c r="B55" s="139" t="inlineStr">
        <is>
          <t>Deng et al.</t>
        </is>
      </c>
      <c r="C55" s="138" t="n">
        <v>2023</v>
      </c>
      <c r="D55" s="139" t="inlineStr">
        <is>
          <t>A friction temperature model for dynamic bearing operation based on neural network and genetic algorithm</t>
        </is>
      </c>
      <c r="E55" s="139" t="inlineStr">
        <is>
          <t>Angular contact ball bearing (ACBB)</t>
        </is>
      </c>
      <c r="F55" s="139" t="inlineStr">
        <is>
          <t>Grease (NYE374A)</t>
        </is>
      </c>
      <c r="G55" s="139" t="inlineStr">
        <is>
          <t>Friction temperature; heat generation; thermal equilibrium; temperature prediction</t>
        </is>
      </c>
      <c r="H55" s="139" t="inlineStr">
        <is>
          <t>Thermal + Torque</t>
        </is>
      </c>
      <c r="I55" s="144" t="inlineStr">
        <is>
          <t>Passive</t>
        </is>
      </c>
      <c r="J55" s="122" t="inlineStr">
        <is>
          <t>Semi-Invasive</t>
        </is>
      </c>
      <c r="K55" s="139" t="inlineStr">
        <is>
          <t>PT100 temperature sensors + torque sensor</t>
        </is>
      </c>
      <c r="L55" s="139" t="inlineStr">
        <is>
          <t>SKF friction/temperature model; transient heat transfer; data normalisation</t>
        </is>
      </c>
      <c r="M55" s="139" t="inlineStr">
        <is>
          <t>BPNN + Genetic Algorithm (GA) optimiser</t>
        </is>
      </c>
      <c r="N55" s="139" t="inlineStr">
        <is>
          <t>Physics-NN</t>
        </is>
      </c>
      <c r="O55" s="123" t="inlineStr">
        <is>
          <t>H</t>
        </is>
      </c>
      <c r="P55" s="140" t="inlineStr">
        <is>
          <t>Intelligent friction temperature model using NN-GA accurately predicts bearing temperature under variable conditions without individual dynamics modelling.</t>
        </is>
      </c>
      <c r="Q55" s="126" t="n"/>
      <c r="R55" s="126" t="n"/>
      <c r="S55" s="126" t="n"/>
      <c r="T55" s="126" t="n"/>
      <c r="U55" s="126" t="n"/>
      <c r="V55" s="125" t="inlineStr">
        <is>
          <t>✓</t>
        </is>
      </c>
      <c r="W55" s="126" t="n"/>
      <c r="X55" s="126" t="n"/>
      <c r="Y55" s="126" t="n"/>
      <c r="Z55" s="126" t="n"/>
      <c r="AA55" s="126" t="n"/>
      <c r="AB55" s="126" t="n"/>
      <c r="AC55" s="127" t="inlineStr">
        <is>
          <t>✓</t>
        </is>
      </c>
      <c r="AD55" s="126" t="n"/>
      <c r="AE55" s="127" t="inlineStr">
        <is>
          <t>✓</t>
        </is>
      </c>
      <c r="AF55" s="126" t="n"/>
      <c r="AG55" s="126" t="n"/>
      <c r="AH55" s="126" t="n"/>
      <c r="AI55" s="129" t="inlineStr">
        <is>
          <t>✓</t>
        </is>
      </c>
      <c r="AJ55" s="126" t="n"/>
    </row>
    <row r="56" ht="64.5" customHeight="1" s="109">
      <c r="A56" s="138" t="n">
        <v>54</v>
      </c>
      <c r="B56" s="139" t="inlineStr">
        <is>
          <t>Deng et al.</t>
        </is>
      </c>
      <c r="C56" s="138" t="n">
        <v>2025</v>
      </c>
      <c r="D56" s="139" t="inlineStr">
        <is>
          <t>A friction temperature model for dynamic operating bearing based on CNN and CNNLSTM</t>
        </is>
      </c>
      <c r="E56" s="139" t="inlineStr">
        <is>
          <t>ACBB SKF 7206</t>
        </is>
      </c>
      <c r="F56" s="139" t="inlineStr">
        <is>
          <t>Grease (NYE374A)</t>
        </is>
      </c>
      <c r="G56" s="139" t="inlineStr">
        <is>
          <t>Friction temperature; transient heat dynamics; spatial + temporal dependencies</t>
        </is>
      </c>
      <c r="H56" s="139" t="inlineStr">
        <is>
          <t>Thermal + Torque</t>
        </is>
      </c>
      <c r="I56" s="144" t="inlineStr">
        <is>
          <t>Passive</t>
        </is>
      </c>
      <c r="J56" s="122" t="inlineStr">
        <is>
          <t>Semi-Invasive</t>
        </is>
      </c>
      <c r="K56" s="139" t="inlineStr">
        <is>
          <t>JM608V integrated sensor (PT1000) + torque measurement</t>
        </is>
      </c>
      <c r="L56" s="139" t="inlineStr">
        <is>
          <t>Convolutional feature extraction; LSTM temporal modelling</t>
        </is>
      </c>
      <c r="M56" s="139" t="inlineStr">
        <is>
          <t>CNN + LSTM hybrid (CNNLSTM)</t>
        </is>
      </c>
      <c r="N56" s="139" t="inlineStr">
        <is>
          <t>Hybrid DL</t>
        </is>
      </c>
      <c r="O56" s="123" t="inlineStr">
        <is>
          <t>H</t>
        </is>
      </c>
      <c r="P56" s="140" t="inlineStr">
        <is>
          <t>CNNLSTM integrates CNN spatial features with LSTM temporal dynamics for bearing temperature prediction; outperforms traditional SKF and BP neural network methods.</t>
        </is>
      </c>
      <c r="Q56" s="126" t="n"/>
      <c r="R56" s="126" t="n"/>
      <c r="S56" s="126" t="n"/>
      <c r="T56" s="126" t="n"/>
      <c r="U56" s="126" t="n"/>
      <c r="V56" s="125" t="inlineStr">
        <is>
          <t>✓</t>
        </is>
      </c>
      <c r="W56" s="126" t="n"/>
      <c r="X56" s="126" t="n"/>
      <c r="Y56" s="126" t="n"/>
      <c r="Z56" s="126" t="n"/>
      <c r="AA56" s="126" t="n"/>
      <c r="AB56" s="126" t="n"/>
      <c r="AC56" s="127" t="inlineStr">
        <is>
          <t>✓</t>
        </is>
      </c>
      <c r="AD56" s="126" t="n"/>
      <c r="AE56" s="127" t="inlineStr">
        <is>
          <t>✓</t>
        </is>
      </c>
      <c r="AF56" s="126" t="n"/>
      <c r="AG56" s="129" t="inlineStr">
        <is>
          <t>✓</t>
        </is>
      </c>
      <c r="AH56" s="129" t="inlineStr">
        <is>
          <t>✓</t>
        </is>
      </c>
      <c r="AI56" s="126" t="n"/>
      <c r="AJ56" s="126" t="n"/>
    </row>
    <row r="57" ht="64.5" customHeight="1" s="109">
      <c r="A57" s="138" t="n">
        <v>55</v>
      </c>
      <c r="B57" s="139" t="inlineStr">
        <is>
          <t>Zhou et al.</t>
        </is>
      </c>
      <c r="C57" s="138" t="n">
        <v>2025</v>
      </c>
      <c r="D57" s="139" t="inlineStr">
        <is>
          <t>Thermal Analysis of Grease-Lubricated Double Row Tapered Roller Bearings</t>
        </is>
      </c>
      <c r="E57" s="139" t="inlineStr">
        <is>
          <t>Double row tapered roller bearing (DTRB)</t>
        </is>
      </c>
      <c r="F57" s="139" t="inlineStr">
        <is>
          <t>Grease</t>
        </is>
      </c>
      <c r="G57" s="139" t="inlineStr">
        <is>
          <t>Temperature distribution; heat generation; friction heat; heat dissipation</t>
        </is>
      </c>
      <c r="H57" s="139" t="inlineStr">
        <is>
          <t>Thermal (FEA)</t>
        </is>
      </c>
      <c r="I57" s="130" t="inlineStr">
        <is>
          <t>N/A</t>
        </is>
      </c>
      <c r="J57" s="130" t="inlineStr">
        <is>
          <t>N/A</t>
        </is>
      </c>
      <c r="K57" s="139" t="inlineStr">
        <is>
          <t>3D steady-state thermal model; FEM (ANSYS)</t>
        </is>
      </c>
      <c r="L57" s="139" t="inlineStr">
        <is>
          <t>Finite element method; kinematic relationships; heat dissipation analysis</t>
        </is>
      </c>
      <c r="M57" s="139" t="inlineStr">
        <is>
          <t>None</t>
        </is>
      </c>
      <c r="N57" s="139" t="inlineStr">
        <is>
          <t>None</t>
        </is>
      </c>
      <c r="O57" s="123" t="inlineStr">
        <is>
          <t>H</t>
        </is>
      </c>
      <c r="P57" s="140" t="inlineStr">
        <is>
          <t>3D thermal model for DTRB accounts for load distribution variations in circumferential, axial, and radial directions under combined loading; provides theoretical guidance.</t>
        </is>
      </c>
      <c r="Q57" s="126" t="n"/>
      <c r="R57" s="126" t="n"/>
      <c r="S57" s="126" t="n"/>
      <c r="T57" s="126" t="n"/>
      <c r="U57" s="126" t="n"/>
      <c r="V57" s="125" t="inlineStr">
        <is>
          <t>✓</t>
        </is>
      </c>
      <c r="W57" s="126" t="n"/>
      <c r="X57" s="126" t="n"/>
      <c r="Y57" s="126" t="n"/>
      <c r="Z57" s="126" t="n"/>
      <c r="AA57" s="126" t="n"/>
      <c r="AB57" s="126" t="n"/>
      <c r="AC57" s="126" t="n"/>
      <c r="AD57" s="126" t="n"/>
      <c r="AE57" s="127" t="inlineStr">
        <is>
          <t>✓</t>
        </is>
      </c>
      <c r="AF57" s="126" t="n"/>
      <c r="AG57" s="126" t="n"/>
      <c r="AH57" s="126" t="n"/>
      <c r="AI57" s="126" t="n"/>
      <c r="AJ57" s="126" t="n"/>
    </row>
    <row r="58" ht="64.5" customHeight="1" s="109">
      <c r="A58" s="138" t="n">
        <v>56</v>
      </c>
      <c r="B58" s="139" t="inlineStr">
        <is>
          <t>Yan et al.</t>
        </is>
      </c>
      <c r="C58" s="138" t="n">
        <v>2019</v>
      </c>
      <c r="D58" s="139" t="inlineStr">
        <is>
          <t>Thermal coefficients modification of high speed ball bearing by multi-object optimization method</t>
        </is>
      </c>
      <c r="E58" s="139" t="inlineStr">
        <is>
          <t>High-speed ball bearing 7008C</t>
        </is>
      </c>
      <c r="F58" s="139" t="inlineStr">
        <is>
          <t>Oil (lubrication)</t>
        </is>
      </c>
      <c r="G58" s="139" t="inlineStr">
        <is>
          <t>Temperature field; thermal convection parameters; thermal transfer</t>
        </is>
      </c>
      <c r="H58" s="139" t="inlineStr">
        <is>
          <t>Thermal (Fluorescence)</t>
        </is>
      </c>
      <c r="I58" s="121" t="inlineStr">
        <is>
          <t>Active</t>
        </is>
      </c>
      <c r="J58" s="128" t="inlineStr">
        <is>
          <t>Invasive</t>
        </is>
      </c>
      <c r="K58" s="139" t="inlineStr">
        <is>
          <t>Quantum dot fluorescence sensors (CdTe &amp; CdSe/ZnS); simultaneous multi-point monitoring</t>
        </is>
      </c>
      <c r="L58" s="139" t="inlineStr">
        <is>
          <t>FEA; Response Surface Method (RSM); multi-objective optimisation</t>
        </is>
      </c>
      <c r="M58" s="139" t="inlineStr">
        <is>
          <t>RSM parameter optimisation</t>
        </is>
      </c>
      <c r="N58" s="139" t="inlineStr">
        <is>
          <t>None</t>
        </is>
      </c>
      <c r="O58" s="134" t="inlineStr">
        <is>
          <t>M</t>
        </is>
      </c>
      <c r="P58" s="140" t="inlineStr">
        <is>
          <t>Quantum dot fluorescence sensors enable simultaneous multi-point temperature monitoring for high-speed ball bearings; RSM optimises thermal parameters at 10 000 rpm.</t>
        </is>
      </c>
      <c r="Q58" s="126" t="n"/>
      <c r="R58" s="126" t="n"/>
      <c r="S58" s="126" t="n"/>
      <c r="T58" s="126" t="n"/>
      <c r="U58" s="125" t="inlineStr">
        <is>
          <t>✓</t>
        </is>
      </c>
      <c r="V58" s="125" t="inlineStr">
        <is>
          <t>✓</t>
        </is>
      </c>
      <c r="W58" s="126" t="n"/>
      <c r="X58" s="126" t="n"/>
      <c r="Y58" s="126" t="n"/>
      <c r="Z58" s="126" t="n"/>
      <c r="AA58" s="126" t="n"/>
      <c r="AB58" s="126" t="n"/>
      <c r="AC58" s="127" t="inlineStr">
        <is>
          <t>✓</t>
        </is>
      </c>
      <c r="AD58" s="126" t="n"/>
      <c r="AE58" s="127" t="inlineStr">
        <is>
          <t>✓</t>
        </is>
      </c>
      <c r="AF58" s="126" t="n"/>
      <c r="AG58" s="126" t="n"/>
      <c r="AH58" s="126" t="n"/>
      <c r="AI58" s="126" t="n"/>
      <c r="AJ58" s="126" t="n"/>
    </row>
    <row r="59" ht="64.5" customHeight="1" s="109">
      <c r="A59" s="150" t="n">
        <v>57</v>
      </c>
      <c r="B59" s="151" t="inlineStr">
        <is>
          <t>Sun et al.</t>
        </is>
      </c>
      <c r="C59" s="150" t="n">
        <v>2021</v>
      </c>
      <c r="D59" s="151" t="inlineStr">
        <is>
          <t>Online oil debris monitoring of rotating machinery: A detailed review of more than three decades</t>
        </is>
      </c>
      <c r="E59" s="151" t="inlineStr">
        <is>
          <t>Rolling element bearings (review)</t>
        </is>
      </c>
      <c r="F59" s="151" t="inlineStr">
        <is>
          <t>Oil (various)</t>
        </is>
      </c>
      <c r="G59" s="151" t="inlineStr">
        <is>
          <t>Wear debris particles (magnetic, electrical, optical, acoustic detection)</t>
        </is>
      </c>
      <c r="H59" s="151" t="inlineStr">
        <is>
          <t>Oil/Debris Analysis</t>
        </is>
      </c>
      <c r="I59" s="144" t="inlineStr">
        <is>
          <t>Passive</t>
        </is>
      </c>
      <c r="J59" s="122" t="inlineStr">
        <is>
          <t>Semi-Invasive</t>
        </is>
      </c>
      <c r="K59" s="151" t="inlineStr">
        <is>
          <t>Magnetic chip detectors; inductive; capacitive; optical/imaging; acoustic sensors (review)</t>
        </is>
      </c>
      <c r="L59" s="151" t="inlineStr">
        <is>
          <t>Fourier analysis; envelope spectrum; spectrum analysis; time/frequency processing</t>
        </is>
      </c>
      <c r="M59" s="151" t="inlineStr">
        <is>
          <t>None (review)</t>
        </is>
      </c>
      <c r="N59" s="151" t="inlineStr">
        <is>
          <t>None</t>
        </is>
      </c>
      <c r="O59" s="123" t="inlineStr">
        <is>
          <t>H</t>
        </is>
      </c>
      <c r="P59" s="152" t="inlineStr">
        <is>
          <t>Comprehensive 30+ year review of online oil debris sensing technologies covering magnetic, electrical, optical, and acoustic methods with focus on latest sensor developments.</t>
        </is>
      </c>
      <c r="Q59" s="126" t="n"/>
      <c r="R59" s="126" t="n"/>
      <c r="S59" s="126" t="n"/>
      <c r="T59" s="126" t="n"/>
      <c r="U59" s="125" t="inlineStr">
        <is>
          <t>✓</t>
        </is>
      </c>
      <c r="V59" s="126" t="n"/>
      <c r="W59" s="126" t="n"/>
      <c r="X59" s="125" t="inlineStr">
        <is>
          <t>✓</t>
        </is>
      </c>
      <c r="Y59" s="126" t="n"/>
      <c r="Z59" s="127" t="inlineStr">
        <is>
          <t>✓</t>
        </is>
      </c>
      <c r="AA59" s="126" t="n"/>
      <c r="AB59" s="126" t="n"/>
      <c r="AC59" s="127" t="inlineStr">
        <is>
          <t>✓</t>
        </is>
      </c>
      <c r="AD59" s="126" t="n"/>
      <c r="AE59" s="126" t="n"/>
      <c r="AF59" s="126" t="n"/>
      <c r="AG59" s="126" t="n"/>
      <c r="AH59" s="126" t="n"/>
      <c r="AI59" s="126" t="n"/>
      <c r="AJ59" s="126" t="n"/>
    </row>
    <row r="60" ht="64.5" customHeight="1" s="109">
      <c r="A60" s="131" t="n">
        <v>58</v>
      </c>
      <c r="B60" s="132" t="inlineStr">
        <is>
          <t>Zhao et al.</t>
        </is>
      </c>
      <c r="C60" s="131" t="n">
        <v>2023</v>
      </c>
      <c r="D60" s="132" t="inlineStr">
        <is>
          <t>Fault Diagnosis for Abnormal Wear of Rolling Element Bearing Fusing Oil Debris Monitoring</t>
        </is>
      </c>
      <c r="E60" s="132" t="inlineStr">
        <is>
          <t>Ball bearing QJ214M (4-point contact)</t>
        </is>
      </c>
      <c r="F60" s="132" t="inlineStr">
        <is>
          <t>Steam turbine oil 32# (forced lubrication)</t>
        </is>
      </c>
      <c r="G60" s="132" t="inlineStr">
        <is>
          <t>Ferrous particle size distribution; vibration; temperature; abnormal wear</t>
        </is>
      </c>
      <c r="H60" s="132" t="inlineStr">
        <is>
          <t>Oil/Debris Analysis + Vibration</t>
        </is>
      </c>
      <c r="I60" s="121" t="inlineStr">
        <is>
          <t>Active</t>
        </is>
      </c>
      <c r="J60" s="128" t="inlineStr">
        <is>
          <t>Invasive</t>
        </is>
      </c>
      <c r="K60" s="132" t="inlineStr">
        <is>
          <t>Vibration accelerometer + temperature + oil debris sensor (3-sensor)</t>
        </is>
      </c>
      <c r="L60" s="132" t="inlineStr">
        <is>
          <t>Time-domain features; NCA dimensionality reduction</t>
        </is>
      </c>
      <c r="M60" s="132" t="inlineStr">
        <is>
          <t>SVM; KNN; Decision Tree</t>
        </is>
      </c>
      <c r="N60" s="132" t="inlineStr">
        <is>
          <t>Classical ML</t>
        </is>
      </c>
      <c r="O60" s="123" t="inlineStr">
        <is>
          <t>H</t>
        </is>
      </c>
      <c r="P60" s="133" t="inlineStr">
        <is>
          <t>Multi-sensor fusion combining oil debris with vibration features; ferrous particle distribution enables early abnormal wear detection with 15.7% diagnostic improvement.</t>
        </is>
      </c>
      <c r="Q60" s="126" t="n"/>
      <c r="R60" s="126" t="n"/>
      <c r="S60" s="126" t="n"/>
      <c r="T60" s="125" t="inlineStr">
        <is>
          <t>✓</t>
        </is>
      </c>
      <c r="U60" s="126" t="n"/>
      <c r="V60" s="125" t="inlineStr">
        <is>
          <t>✓</t>
        </is>
      </c>
      <c r="W60" s="126" t="n"/>
      <c r="X60" s="125" t="inlineStr">
        <is>
          <t>✓</t>
        </is>
      </c>
      <c r="Y60" s="125" t="inlineStr">
        <is>
          <t>✓</t>
        </is>
      </c>
      <c r="Z60" s="127" t="inlineStr">
        <is>
          <t>✓</t>
        </is>
      </c>
      <c r="AA60" s="126" t="n"/>
      <c r="AB60" s="126" t="n"/>
      <c r="AC60" s="127" t="inlineStr">
        <is>
          <t>✓</t>
        </is>
      </c>
      <c r="AD60" s="126" t="n"/>
      <c r="AE60" s="126" t="n"/>
      <c r="AF60" s="129" t="inlineStr">
        <is>
          <t>✓</t>
        </is>
      </c>
      <c r="AG60" s="126" t="n"/>
      <c r="AH60" s="126" t="n"/>
      <c r="AI60" s="126" t="n"/>
      <c r="AJ60" s="126" t="n"/>
    </row>
    <row r="61" ht="64.5" customHeight="1" s="109">
      <c r="A61" s="131" t="n">
        <v>59</v>
      </c>
      <c r="B61" s="132" t="inlineStr">
        <is>
          <t>Wang et al.</t>
        </is>
      </c>
      <c r="C61" s="131" t="n">
        <v>2018</v>
      </c>
      <c r="D61" s="132" t="inlineStr">
        <is>
          <t>Evaluation for Bearing Wear States Based on Online Oil Multi-Parameters Monitoring</t>
        </is>
      </c>
      <c r="E61" s="132" t="inlineStr">
        <is>
          <t>Rolling element bearings</t>
        </is>
      </c>
      <c r="F61" s="132" t="inlineStr">
        <is>
          <t>Oil (multi-parameter monitoring)</t>
        </is>
      </c>
      <c r="G61" s="132" t="inlineStr">
        <is>
          <t>Micro-metal debris; viscosity; water density; vibration signals; wear states</t>
        </is>
      </c>
      <c r="H61" s="132" t="inlineStr">
        <is>
          <t>Oil/Debris Analysis + Vibration</t>
        </is>
      </c>
      <c r="I61" s="153" t="inlineStr">
        <is>
          <t>Active + Passive</t>
        </is>
      </c>
      <c r="J61" s="128" t="inlineStr">
        <is>
          <t>Invasive</t>
        </is>
      </c>
      <c r="K61" s="132" t="inlineStr">
        <is>
          <t>Online multi-parameter monitoring (optical + accelerometer)</t>
        </is>
      </c>
      <c r="L61" s="132" t="inlineStr">
        <is>
          <t>Gray Correlation Model (GCM); K-means clustering</t>
        </is>
      </c>
      <c r="M61" s="132" t="inlineStr">
        <is>
          <t>G-KCM (Gray Correlation + K-means)</t>
        </is>
      </c>
      <c r="N61" s="132" t="inlineStr">
        <is>
          <t>Classical ML</t>
        </is>
      </c>
      <c r="O61" s="123" t="inlineStr">
        <is>
          <t>H</t>
        </is>
      </c>
      <c r="P61" s="133" t="inlineStr">
        <is>
          <t>Oil multi-parameter monitoring provides earlier wear failure prediction than vibration signals alone; G-KCM clustering identifies bearing wear states effectively.</t>
        </is>
      </c>
      <c r="Q61" s="126" t="n"/>
      <c r="R61" s="126" t="n"/>
      <c r="S61" s="126" t="n"/>
      <c r="T61" s="125" t="inlineStr">
        <is>
          <t>✓</t>
        </is>
      </c>
      <c r="U61" s="125" t="inlineStr">
        <is>
          <t>✓</t>
        </is>
      </c>
      <c r="V61" s="126" t="n"/>
      <c r="W61" s="126" t="n"/>
      <c r="X61" s="125" t="inlineStr">
        <is>
          <t>✓</t>
        </is>
      </c>
      <c r="Y61" s="125" t="inlineStr">
        <is>
          <t>✓</t>
        </is>
      </c>
      <c r="Z61" s="127" t="inlineStr">
        <is>
          <t>✓</t>
        </is>
      </c>
      <c r="AA61" s="126" t="n"/>
      <c r="AB61" s="126" t="n"/>
      <c r="AC61" s="127" t="inlineStr">
        <is>
          <t>✓</t>
        </is>
      </c>
      <c r="AD61" s="126" t="n"/>
      <c r="AE61" s="126" t="n"/>
      <c r="AF61" s="129" t="inlineStr">
        <is>
          <t>✓</t>
        </is>
      </c>
      <c r="AG61" s="126" t="n"/>
      <c r="AH61" s="126" t="n"/>
      <c r="AI61" s="126" t="n"/>
      <c r="AJ61" s="126" t="n"/>
    </row>
    <row r="62" ht="64.5" customHeight="1" s="109">
      <c r="A62" s="150" t="n">
        <v>60</v>
      </c>
      <c r="B62" s="151" t="inlineStr">
        <is>
          <t>Liu et al.</t>
        </is>
      </c>
      <c r="C62" s="150" t="n">
        <v>2022</v>
      </c>
      <c r="D62" s="151" t="inlineStr">
        <is>
          <t>Oil debris and viscosity monitoring using optical measurement based on Response Surface Methodology</t>
        </is>
      </c>
      <c r="E62" s="151" t="inlineStr">
        <is>
          <t>Gas turbine bearings (5 bearings)</t>
        </is>
      </c>
      <c r="F62" s="151" t="inlineStr">
        <is>
          <t>Mineral oils (Great wall / Mobil Jet II / Aeroshell)</t>
        </is>
      </c>
      <c r="G62" s="151" t="inlineStr">
        <is>
          <t>Debris density; debris diameter; oil viscosity; flow rate; temperature</t>
        </is>
      </c>
      <c r="H62" s="151" t="inlineStr">
        <is>
          <t>Oil/Debris Analysis (Optical)</t>
        </is>
      </c>
      <c r="I62" s="121" t="inlineStr">
        <is>
          <t>Active</t>
        </is>
      </c>
      <c r="J62" s="128" t="inlineStr">
        <is>
          <t>Invasive</t>
        </is>
      </c>
      <c r="K62" s="151" t="inlineStr">
        <is>
          <t>Optical imaging sensor (light source + high-speed camera + stereoscopic microscope)</t>
        </is>
      </c>
      <c r="L62" s="151" t="inlineStr">
        <is>
          <t>Gaussian Mixture Model (GMM); Kalman filter; blob tracking; morphological noise removal</t>
        </is>
      </c>
      <c r="M62" s="151" t="inlineStr">
        <is>
          <t>GMM background subtraction</t>
        </is>
      </c>
      <c r="N62" s="151" t="inlineStr">
        <is>
          <t>Classical ML</t>
        </is>
      </c>
      <c r="O62" s="123" t="inlineStr">
        <is>
          <t>H</t>
        </is>
      </c>
      <c r="P62" s="152" t="inlineStr">
        <is>
          <t>Optical sensor integrates dynamic image acquisition for simultaneous wear debris velocity and oil viscosity measurement; RSM correlates debris properties with lubrication condition.</t>
        </is>
      </c>
      <c r="Q62" s="126" t="n"/>
      <c r="R62" s="126" t="n"/>
      <c r="S62" s="126" t="n"/>
      <c r="T62" s="126" t="n"/>
      <c r="U62" s="125" t="inlineStr">
        <is>
          <t>✓</t>
        </is>
      </c>
      <c r="V62" s="126" t="n"/>
      <c r="W62" s="126" t="n"/>
      <c r="X62" s="125" t="inlineStr">
        <is>
          <t>✓</t>
        </is>
      </c>
      <c r="Y62" s="126" t="n"/>
      <c r="Z62" s="126" t="n"/>
      <c r="AA62" s="126" t="n"/>
      <c r="AB62" s="126" t="n"/>
      <c r="AC62" s="127" t="inlineStr">
        <is>
          <t>✓</t>
        </is>
      </c>
      <c r="AD62" s="126" t="n"/>
      <c r="AE62" s="126" t="n"/>
      <c r="AF62" s="129" t="inlineStr">
        <is>
          <t>✓</t>
        </is>
      </c>
      <c r="AG62" s="126" t="n"/>
      <c r="AH62" s="126" t="n"/>
      <c r="AI62" s="126" t="n"/>
      <c r="AJ62" s="126" t="n"/>
    </row>
    <row r="63" ht="64.5" customHeight="1" s="109">
      <c r="A63" s="150" t="n">
        <v>61</v>
      </c>
      <c r="B63" s="151" t="inlineStr">
        <is>
          <t>Wang et al.</t>
        </is>
      </c>
      <c r="C63" s="150" t="n">
        <v>2022</v>
      </c>
      <c r="D63" s="151" t="inlineStr">
        <is>
          <t>Online monitoring of oil wear debris image based on CNN</t>
        </is>
      </c>
      <c r="E63" s="151" t="inlineStr">
        <is>
          <t>Pin-on-disc (bearings applicable)</t>
        </is>
      </c>
      <c r="F63" s="151" t="inlineStr">
        <is>
          <t>Mineral oil</t>
        </is>
      </c>
      <c r="G63" s="151" t="inlineStr">
        <is>
          <t>Wear debris particles + bubbles; particle morphology and concentration</t>
        </is>
      </c>
      <c r="H63" s="151" t="inlineStr">
        <is>
          <t>Oil/Debris Analysis (Optical)</t>
        </is>
      </c>
      <c r="I63" s="121" t="inlineStr">
        <is>
          <t>Active</t>
        </is>
      </c>
      <c r="J63" s="122" t="inlineStr">
        <is>
          <t>Semi-Invasive</t>
        </is>
      </c>
      <c r="K63" s="151" t="inlineStr">
        <is>
          <t>Full-flow optical monitoring (1280×1024 camera, 200 fps); cuboid observation cell</t>
        </is>
      </c>
      <c r="L63" s="151" t="inlineStr">
        <is>
          <t>Background subtraction; morphological features (HOG); particle roundness calculations</t>
        </is>
      </c>
      <c r="M63" s="151" t="inlineStr">
        <is>
          <t>CNN; compared with HOG+KNN &amp; HOG+SVM</t>
        </is>
      </c>
      <c r="N63" s="151" t="inlineStr">
        <is>
          <t>CNN</t>
        </is>
      </c>
      <c r="O63" s="123" t="inlineStr">
        <is>
          <t>H</t>
        </is>
      </c>
      <c r="P63" s="152" t="inlineStr">
        <is>
          <t>CNN-based image classification distinguishes wear debris from bubbles at 91.8% accuracy; overcomes bubble interference in high flow-rate optical monitoring.</t>
        </is>
      </c>
      <c r="Q63" s="126" t="n"/>
      <c r="R63" s="126" t="n"/>
      <c r="S63" s="126" t="n"/>
      <c r="T63" s="126" t="n"/>
      <c r="U63" s="125" t="inlineStr">
        <is>
          <t>✓</t>
        </is>
      </c>
      <c r="V63" s="126" t="n"/>
      <c r="W63" s="126" t="n"/>
      <c r="X63" s="125" t="inlineStr">
        <is>
          <t>✓</t>
        </is>
      </c>
      <c r="Y63" s="126" t="n"/>
      <c r="Z63" s="126" t="n"/>
      <c r="AA63" s="126" t="n"/>
      <c r="AB63" s="126" t="n"/>
      <c r="AC63" s="127" t="inlineStr">
        <is>
          <t>✓</t>
        </is>
      </c>
      <c r="AD63" s="126" t="n"/>
      <c r="AE63" s="126" t="n"/>
      <c r="AF63" s="129" t="inlineStr">
        <is>
          <t>✓</t>
        </is>
      </c>
      <c r="AG63" s="129" t="inlineStr">
        <is>
          <t>✓</t>
        </is>
      </c>
      <c r="AH63" s="126" t="n"/>
      <c r="AI63" s="126" t="n"/>
      <c r="AJ63" s="126" t="n"/>
    </row>
    <row r="64" ht="64.5" customHeight="1" s="109">
      <c r="A64" s="150" t="n">
        <v>62</v>
      </c>
      <c r="B64" s="151" t="inlineStr">
        <is>
          <t>Zhu et al.</t>
        </is>
      </c>
      <c r="C64" s="150" t="n">
        <v>2017</v>
      </c>
      <c r="D64" s="151" t="inlineStr">
        <is>
          <t>Lubricating oil conditioning sensors for online machine health monitoring – A review</t>
        </is>
      </c>
      <c r="E64" s="151" t="inlineStr">
        <is>
          <t>Rolling bearings, gears, WT (review)</t>
        </is>
      </c>
      <c r="F64" s="151" t="inlineStr">
        <is>
          <t>Mineral/aviation/turbine oils</t>
        </is>
      </c>
      <c r="G64" s="151" t="inlineStr">
        <is>
          <t>Debris (size, morphology); viscosity; water; soot; acid number; corrosion</t>
        </is>
      </c>
      <c r="H64" s="151" t="inlineStr">
        <is>
          <t>Oil/Debris Analysis (Multi-type)</t>
        </is>
      </c>
      <c r="I64" s="121" t="inlineStr">
        <is>
          <t>Active</t>
        </is>
      </c>
      <c r="J64" s="122" t="inlineStr">
        <is>
          <t>Semi-Invasive</t>
        </is>
      </c>
      <c r="K64" s="151" t="inlineStr">
        <is>
          <t>Inductive; capacitive; acoustic; optical; ultrasonic; ferrographic sensors (review)</t>
        </is>
      </c>
      <c r="L64" s="151" t="inlineStr">
        <is>
          <t>Frequency/time division multiplexing; frequency domain (review)</t>
        </is>
      </c>
      <c r="M64" s="151" t="inlineStr">
        <is>
          <t>None (review)</t>
        </is>
      </c>
      <c r="N64" s="151" t="inlineStr">
        <is>
          <t>None</t>
        </is>
      </c>
      <c r="O64" s="123" t="inlineStr">
        <is>
          <t>H</t>
        </is>
      </c>
      <c r="P64" s="152" t="inlineStr">
        <is>
          <t>Review of online oil condition sensors categorised by detection principle (capacitive, inductive, acoustic, optical) with application guidance.</t>
        </is>
      </c>
      <c r="Q64" s="126" t="n"/>
      <c r="R64" s="126" t="n"/>
      <c r="S64" s="126" t="n"/>
      <c r="T64" s="126" t="n"/>
      <c r="U64" s="125" t="inlineStr">
        <is>
          <t>✓</t>
        </is>
      </c>
      <c r="V64" s="126" t="n"/>
      <c r="W64" s="126" t="n"/>
      <c r="X64" s="125" t="inlineStr">
        <is>
          <t>✓</t>
        </is>
      </c>
      <c r="Y64" s="126" t="n"/>
      <c r="Z64" s="127" t="inlineStr">
        <is>
          <t>✓</t>
        </is>
      </c>
      <c r="AA64" s="126" t="n"/>
      <c r="AB64" s="126" t="n"/>
      <c r="AC64" s="127" t="inlineStr">
        <is>
          <t>✓</t>
        </is>
      </c>
      <c r="AD64" s="126" t="n"/>
      <c r="AE64" s="126" t="n"/>
      <c r="AF64" s="126" t="n"/>
      <c r="AG64" s="126" t="n"/>
      <c r="AH64" s="126" t="n"/>
      <c r="AI64" s="126" t="n"/>
      <c r="AJ64" s="126" t="n"/>
    </row>
    <row r="65" ht="64.5" customHeight="1" s="109">
      <c r="A65" s="150" t="n">
        <v>63</v>
      </c>
      <c r="B65" s="151" t="inlineStr">
        <is>
          <t>Zhu et al.</t>
        </is>
      </c>
      <c r="C65" s="150" t="n">
        <v>2013</v>
      </c>
      <c r="D65" s="151" t="inlineStr">
        <is>
          <t>Survey of lubrication oil condition monitoring, diagnostics, and prognostics techniques and systems</t>
        </is>
      </c>
      <c r="E65" s="151" t="inlineStr">
        <is>
          <t>Rotating machinery (review)</t>
        </is>
      </c>
      <c r="F65" s="151" t="inlineStr">
        <is>
          <t>Engine/mineral/synthetic oils</t>
        </is>
      </c>
      <c r="G65" s="151" t="inlineStr">
        <is>
          <t>Water contamination; particles; oil oxidation; viscosity; wear debris</t>
        </is>
      </c>
      <c r="H65" s="151" t="inlineStr">
        <is>
          <t>Oil/Debris Analysis (Multi-type)</t>
        </is>
      </c>
      <c r="I65" s="121" t="inlineStr">
        <is>
          <t>Active</t>
        </is>
      </c>
      <c r="J65" s="128" t="inlineStr">
        <is>
          <t>Invasive</t>
        </is>
      </c>
      <c r="K65" s="151" t="inlineStr">
        <is>
          <t>Dielectric; conductivity; viscosity; particle counting; optical; ultrasonic sensors (review)</t>
        </is>
      </c>
      <c r="L65" s="151" t="inlineStr">
        <is>
          <t>Dielectric spectroscopy; statistical methods</t>
        </is>
      </c>
      <c r="M65" s="151" t="inlineStr">
        <is>
          <t>None (review)</t>
        </is>
      </c>
      <c r="N65" s="151" t="inlineStr">
        <is>
          <t>None</t>
        </is>
      </c>
      <c r="O65" s="123" t="inlineStr">
        <is>
          <t>H</t>
        </is>
      </c>
      <c r="P65" s="152" t="inlineStr">
        <is>
          <t>Survey categorising LCM sensors into electrical, physical, chemical, optical types; evaluates effectiveness for health monitoring and diagnostics across machinery types.</t>
        </is>
      </c>
      <c r="Q65" s="126" t="n"/>
      <c r="R65" s="126" t="n"/>
      <c r="S65" s="126" t="n"/>
      <c r="T65" s="126" t="n"/>
      <c r="U65" s="125" t="inlineStr">
        <is>
          <t>✓</t>
        </is>
      </c>
      <c r="V65" s="126" t="n"/>
      <c r="W65" s="126" t="n"/>
      <c r="X65" s="125" t="inlineStr">
        <is>
          <t>✓</t>
        </is>
      </c>
      <c r="Y65" s="126" t="n"/>
      <c r="Z65" s="127" t="inlineStr">
        <is>
          <t>✓</t>
        </is>
      </c>
      <c r="AA65" s="126" t="n"/>
      <c r="AB65" s="126" t="n"/>
      <c r="AC65" s="127" t="inlineStr">
        <is>
          <t>✓</t>
        </is>
      </c>
      <c r="AD65" s="126" t="n"/>
      <c r="AE65" s="127" t="inlineStr">
        <is>
          <t>✓</t>
        </is>
      </c>
      <c r="AF65" s="126" t="n"/>
      <c r="AG65" s="126" t="n"/>
      <c r="AH65" s="126" t="n"/>
      <c r="AI65" s="126" t="n"/>
      <c r="AJ65" s="126" t="n"/>
    </row>
    <row r="66" ht="64.5" customHeight="1" s="109">
      <c r="A66" s="150" t="n">
        <v>64</v>
      </c>
      <c r="B66" s="151" t="inlineStr">
        <is>
          <t>Han et al.</t>
        </is>
      </c>
      <c r="C66" s="150" t="n">
        <v>2023</v>
      </c>
      <c r="D66" s="151" t="inlineStr">
        <is>
          <t>A Critical Review of On-Line Oil Wear Debris Particle Detection Sensors</t>
        </is>
      </c>
      <c r="E66" s="151" t="inlineStr">
        <is>
          <t>Rotating machinery (marine focus, review)</t>
        </is>
      </c>
      <c r="F66" s="151" t="inlineStr">
        <is>
          <t>Lubricating oils (marine machinery)</t>
        </is>
      </c>
      <c r="G66" s="151" t="inlineStr">
        <is>
          <t>Wear debris (ferromagnetic/non-ferromagnetic, 50–350 μm); wear type patterns</t>
        </is>
      </c>
      <c r="H66" s="151" t="inlineStr">
        <is>
          <t>Oil/Debris Analysis (Multi-type)</t>
        </is>
      </c>
      <c r="I66" s="121" t="inlineStr">
        <is>
          <t>Active</t>
        </is>
      </c>
      <c r="J66" s="128" t="inlineStr">
        <is>
          <t>Invasive</t>
        </is>
      </c>
      <c r="K66" s="151" t="inlineStr">
        <is>
          <t>Inductive; capacitive; resistive; image; optical; ultrasonic sensors (review)</t>
        </is>
      </c>
      <c r="L66" s="151" t="inlineStr">
        <is>
          <t>Morphological analysis; particle size/shape classification; EM sensing principles</t>
        </is>
      </c>
      <c r="M66" s="151" t="inlineStr">
        <is>
          <t>ANN mentioned for calibration</t>
        </is>
      </c>
      <c r="N66" s="151" t="inlineStr">
        <is>
          <t>Classical ML</t>
        </is>
      </c>
      <c r="O66" s="123" t="inlineStr">
        <is>
          <t>H</t>
        </is>
      </c>
      <c r="P66" s="152" t="inlineStr">
        <is>
          <t>Critical review of electrical and non-electrical debris detection sensors for online marine machinery monitoring; focuses on ferrous vs. non-ferrous particle discrimination.</t>
        </is>
      </c>
      <c r="Q66" s="126" t="n"/>
      <c r="R66" s="126" t="n"/>
      <c r="S66" s="126" t="n"/>
      <c r="T66" s="126" t="n"/>
      <c r="U66" s="125" t="inlineStr">
        <is>
          <t>✓</t>
        </is>
      </c>
      <c r="V66" s="126" t="n"/>
      <c r="W66" s="126" t="n"/>
      <c r="X66" s="125" t="inlineStr">
        <is>
          <t>✓</t>
        </is>
      </c>
      <c r="Y66" s="126" t="n"/>
      <c r="Z66" s="127" t="inlineStr">
        <is>
          <t>✓</t>
        </is>
      </c>
      <c r="AA66" s="126" t="n"/>
      <c r="AB66" s="126" t="n"/>
      <c r="AC66" s="127" t="inlineStr">
        <is>
          <t>✓</t>
        </is>
      </c>
      <c r="AD66" s="126" t="n"/>
      <c r="AE66" s="126" t="n"/>
      <c r="AF66" s="129" t="inlineStr">
        <is>
          <t>✓</t>
        </is>
      </c>
      <c r="AG66" s="126" t="n"/>
      <c r="AH66" s="126" t="n"/>
      <c r="AI66" s="126" t="n"/>
      <c r="AJ66" s="126" t="n"/>
    </row>
    <row r="67" ht="64.5" customHeight="1" s="109">
      <c r="A67" s="150" t="n">
        <v>65</v>
      </c>
      <c r="B67" s="151" t="inlineStr">
        <is>
          <t>Yu et al.</t>
        </is>
      </c>
      <c r="C67" s="150" t="n">
        <v>2021</v>
      </c>
      <c r="D67" s="151" t="inlineStr">
        <is>
          <t>A novel signature extracting approach for inductive oil debris sensors based on symplectic geometry mode decomposition</t>
        </is>
      </c>
      <c r="E67" s="151" t="inlineStr">
        <is>
          <t>Rotating machinery bearings</t>
        </is>
      </c>
      <c r="F67" s="151" t="inlineStr">
        <is>
          <t>Oil</t>
        </is>
      </c>
      <c r="G67" s="151" t="inlineStr">
        <is>
          <t>Wear debris (ferromagnetic); particle-induced EMF changes; debris size</t>
        </is>
      </c>
      <c r="H67" s="151" t="inlineStr">
        <is>
          <t>Oil/Debris Analysis</t>
        </is>
      </c>
      <c r="I67" s="121" t="inlineStr">
        <is>
          <t>Active</t>
        </is>
      </c>
      <c r="J67" s="128" t="inlineStr">
        <is>
          <t>Invasive</t>
        </is>
      </c>
      <c r="K67" s="151" t="inlineStr">
        <is>
          <t>Inductive sensor (electromagnetic; detection coil)</t>
        </is>
      </c>
      <c r="L67" s="151" t="inlineStr">
        <is>
          <t>Symplectic Geometry Mode Decomposition (SGMD); PSD; diagonal averaging; NRMSE</t>
        </is>
      </c>
      <c r="M67" s="151" t="inlineStr">
        <is>
          <t>None</t>
        </is>
      </c>
      <c r="N67" s="151" t="inlineStr">
        <is>
          <t>None</t>
        </is>
      </c>
      <c r="O67" s="123" t="inlineStr">
        <is>
          <t>H</t>
        </is>
      </c>
      <c r="P67" s="152" t="inlineStr">
        <is>
          <t>SGMD adaptively extracts noise and harmonics from inductive debris sensor signals; improves detection accuracy over EMD and wavelet methods.</t>
        </is>
      </c>
      <c r="Q67" s="126" t="n"/>
      <c r="R67" s="126" t="n"/>
      <c r="S67" s="126" t="n"/>
      <c r="T67" s="126" t="n"/>
      <c r="U67" s="126" t="n"/>
      <c r="V67" s="126" t="n"/>
      <c r="W67" s="126" t="n"/>
      <c r="X67" s="125" t="inlineStr">
        <is>
          <t>✓</t>
        </is>
      </c>
      <c r="Y67" s="126" t="n"/>
      <c r="Z67" s="127" t="inlineStr">
        <is>
          <t>✓</t>
        </is>
      </c>
      <c r="AA67" s="127" t="inlineStr">
        <is>
          <t>✓</t>
        </is>
      </c>
      <c r="AB67" s="126" t="n"/>
      <c r="AC67" s="126" t="n"/>
      <c r="AD67" s="127" t="inlineStr">
        <is>
          <t>✓</t>
        </is>
      </c>
      <c r="AE67" s="126" t="n"/>
      <c r="AF67" s="126" t="n"/>
      <c r="AG67" s="126" t="n"/>
      <c r="AH67" s="126" t="n"/>
      <c r="AI67" s="126" t="n"/>
      <c r="AJ67" s="126" t="n"/>
    </row>
    <row r="68" ht="64.5" customHeight="1" s="109">
      <c r="A68" s="154" t="n">
        <v>66</v>
      </c>
      <c r="B68" s="155" t="inlineStr">
        <is>
          <t>Zhang X. et al.</t>
        </is>
      </c>
      <c r="C68" s="154" t="n">
        <v>2024</v>
      </c>
      <c r="D68" s="155" t="inlineStr">
        <is>
          <t>A Graph-Data-Based Monitoring Method of Bearing Lubrication Using Multi-Sensor</t>
        </is>
      </c>
      <c r="E68" s="155" t="inlineStr">
        <is>
          <t>7014AC angular contact ball bearing</t>
        </is>
      </c>
      <c r="F68" s="155" t="inlineStr">
        <is>
          <t>Oil (starved / contaminated tests)</t>
        </is>
      </c>
      <c r="G68" s="155" t="inlineStr">
        <is>
          <t>Lubrication state degradation; film breakdown; contamination; friction increase; temperature rise</t>
        </is>
      </c>
      <c r="H68" s="155" t="inlineStr">
        <is>
          <t>Multi-sensor (AE + Vibration + Temp)</t>
        </is>
      </c>
      <c r="I68" s="121" t="inlineStr">
        <is>
          <t>Active</t>
        </is>
      </c>
      <c r="J68" s="128" t="inlineStr">
        <is>
          <t>Invasive</t>
        </is>
      </c>
      <c r="K68" s="155" t="inlineStr">
        <is>
          <t>AE (204.8 kHz) + vibration accelerometer + PT100 temperature (3 sensors)</t>
        </is>
      </c>
      <c r="L68" s="155" t="inlineStr">
        <is>
          <t>FFT; time-frequency feature extraction (5–6 kHz, 20–40 kHz AE bands); spectral energy; graph data construction</t>
        </is>
      </c>
      <c r="M68" s="155" t="inlineStr">
        <is>
          <t>Graph Attention Network (GAT)</t>
        </is>
      </c>
      <c r="N68" s="155" t="inlineStr">
        <is>
          <t>Hybrid DL</t>
        </is>
      </c>
      <c r="O68" s="123" t="inlineStr">
        <is>
          <t>H</t>
        </is>
      </c>
      <c r="P68" s="156" t="inlineStr">
        <is>
          <t>Graph-based multi-sensor fusion captures coupling relationships between vibration, temperature, and AE; GAT anomaly detection handles sensor loss robustly for lubrication monitoring.</t>
        </is>
      </c>
      <c r="Q68" s="126" t="n"/>
      <c r="R68" s="126" t="n"/>
      <c r="S68" s="125" t="inlineStr">
        <is>
          <t>✓</t>
        </is>
      </c>
      <c r="T68" s="125" t="inlineStr">
        <is>
          <t>✓</t>
        </is>
      </c>
      <c r="U68" s="126" t="n"/>
      <c r="V68" s="125" t="inlineStr">
        <is>
          <t>✓</t>
        </is>
      </c>
      <c r="W68" s="126" t="n"/>
      <c r="X68" s="126" t="n"/>
      <c r="Y68" s="125" t="inlineStr">
        <is>
          <t>✓</t>
        </is>
      </c>
      <c r="Z68" s="127" t="inlineStr">
        <is>
          <t>✓</t>
        </is>
      </c>
      <c r="AA68" s="127" t="inlineStr">
        <is>
          <t>✓</t>
        </is>
      </c>
      <c r="AB68" s="126" t="n"/>
      <c r="AC68" s="127" t="inlineStr">
        <is>
          <t>✓</t>
        </is>
      </c>
      <c r="AD68" s="126" t="n"/>
      <c r="AE68" s="126" t="n"/>
      <c r="AF68" s="126" t="n"/>
      <c r="AG68" s="129" t="inlineStr">
        <is>
          <t>✓</t>
        </is>
      </c>
      <c r="AH68" s="126" t="n"/>
      <c r="AI68" s="126" t="n"/>
      <c r="AJ68" s="126" t="n"/>
    </row>
    <row r="69" ht="64.5" customHeight="1" s="109">
      <c r="A69" s="145" t="n">
        <v>67</v>
      </c>
      <c r="B69" s="146" t="inlineStr">
        <is>
          <t>Herwig et al.</t>
        </is>
      </c>
      <c r="C69" s="145" t="n">
        <v>2025</v>
      </c>
      <c r="D69" s="146" t="inlineStr">
        <is>
          <t>Signal processing- and physics-informed neural network for explainable bearing condition monitoring</t>
        </is>
      </c>
      <c r="E69" s="146" t="inlineStr">
        <is>
          <t>Rolling element bearings (general)</t>
        </is>
      </c>
      <c r="F69" s="146" t="inlineStr">
        <is>
          <t>Not specified</t>
        </is>
      </c>
      <c r="G69" s="146" t="inlineStr">
        <is>
          <t>Bearing damage (spalling, defects); stress/load distribution; vibration</t>
        </is>
      </c>
      <c r="H69" s="146" t="inlineStr">
        <is>
          <t>Vibration</t>
        </is>
      </c>
      <c r="I69" s="153" t="inlineStr">
        <is>
          <t>Active + Passive</t>
        </is>
      </c>
      <c r="J69" s="122" t="inlineStr">
        <is>
          <t>Semi-Invasive</t>
        </is>
      </c>
      <c r="K69" s="146" t="inlineStr">
        <is>
          <t>Vibration signals; encoder for order tracking</t>
        </is>
      </c>
      <c r="L69" s="146" t="inlineStr">
        <is>
          <t>Filtering; enveloping; order tracking; FFT; normalisation; peak selection (7-step pipeline)</t>
        </is>
      </c>
      <c r="M69" s="146" t="inlineStr">
        <is>
          <t>BearingNet: physics-informed NN (signal processing as custom CNN layers)</t>
        </is>
      </c>
      <c r="N69" s="146" t="inlineStr">
        <is>
          <t>Physics-NN</t>
        </is>
      </c>
      <c r="O69" s="134" t="inlineStr">
        <is>
          <t>M</t>
        </is>
      </c>
      <c r="P69" s="148" t="inlineStr">
        <is>
          <t>BearingNet embeds analytical signal processing pipeline as custom NN layers; interpretable, automated bearing diagnostics without extensive training data.</t>
        </is>
      </c>
      <c r="Q69" s="126" t="n"/>
      <c r="R69" s="126" t="n"/>
      <c r="S69" s="126" t="n"/>
      <c r="T69" s="125" t="inlineStr">
        <is>
          <t>✓</t>
        </is>
      </c>
      <c r="U69" s="126" t="n"/>
      <c r="V69" s="126" t="n"/>
      <c r="W69" s="126" t="n"/>
      <c r="X69" s="126" t="n"/>
      <c r="Y69" s="126" t="n"/>
      <c r="Z69" s="127" t="inlineStr">
        <is>
          <t>✓</t>
        </is>
      </c>
      <c r="AA69" s="126" t="n"/>
      <c r="AB69" s="127" t="inlineStr">
        <is>
          <t>✓</t>
        </is>
      </c>
      <c r="AC69" s="127" t="inlineStr">
        <is>
          <t>✓</t>
        </is>
      </c>
      <c r="AD69" s="126" t="n"/>
      <c r="AE69" s="127" t="inlineStr">
        <is>
          <t>✓</t>
        </is>
      </c>
      <c r="AF69" s="126" t="n"/>
      <c r="AG69" s="129" t="inlineStr">
        <is>
          <t>✓</t>
        </is>
      </c>
      <c r="AH69" s="126" t="n"/>
      <c r="AI69" s="129" t="inlineStr">
        <is>
          <t>✓</t>
        </is>
      </c>
      <c r="AJ69" s="126" t="n"/>
    </row>
    <row r="70" ht="64.5" customHeight="1" s="109">
      <c r="A70" s="145" t="n">
        <v>68</v>
      </c>
      <c r="B70" s="146" t="inlineStr">
        <is>
          <t>Kahr et al.</t>
        </is>
      </c>
      <c r="C70" s="145" t="n">
        <v>2022</v>
      </c>
      <c r="D70" s="146" t="inlineStr">
        <is>
          <t>Condition Monitoring of Ball Bearings Based on Machine Learning with Synthetically Generated Data</t>
        </is>
      </c>
      <c r="E70" s="146" t="inlineStr">
        <is>
          <t>Ball bearing SKF6200</t>
        </is>
      </c>
      <c r="F70" s="146" t="inlineStr">
        <is>
          <t>Grease (implied)</t>
        </is>
      </c>
      <c r="G70" s="146" t="inlineStr">
        <is>
          <t>Bearing fatigue; defects (inner/outer ring); contact stress distribution</t>
        </is>
      </c>
      <c r="H70" s="146" t="inlineStr">
        <is>
          <t>Vibration (synthetic)</t>
        </is>
      </c>
      <c r="I70" s="144" t="inlineStr">
        <is>
          <t>Passive</t>
        </is>
      </c>
      <c r="J70" s="122" t="inlineStr">
        <is>
          <t>Semi-Invasive</t>
        </is>
      </c>
      <c r="K70" s="146" t="inlineStr">
        <is>
          <t>Vibration signals from 3D multibody dynamics simulation + noise superposition</t>
        </is>
      </c>
      <c r="L70" s="146" t="inlineStr">
        <is>
          <t>Wavelet transform (2D image from time-frequency); feature extraction</t>
        </is>
      </c>
      <c r="M70" s="146" t="inlineStr">
        <is>
          <t>CNN trained on synthetic simulation data</t>
        </is>
      </c>
      <c r="N70" s="146" t="inlineStr">
        <is>
          <t>CNN</t>
        </is>
      </c>
      <c r="O70" s="149" t="inlineStr">
        <is>
          <t>L</t>
        </is>
      </c>
      <c r="P70" s="148" t="inlineStr">
        <is>
          <t>CNN trained entirely on synthetically generated bearing vibration data; demonstrates feasibility for addressing data scarcity and generalisation challenges.</t>
        </is>
      </c>
      <c r="Q70" s="126" t="n"/>
      <c r="R70" s="126" t="n"/>
      <c r="S70" s="126" t="n"/>
      <c r="T70" s="125" t="inlineStr">
        <is>
          <t>✓</t>
        </is>
      </c>
      <c r="U70" s="126" t="n"/>
      <c r="V70" s="126" t="n"/>
      <c r="W70" s="126" t="n"/>
      <c r="X70" s="126" t="n"/>
      <c r="Y70" s="126" t="n"/>
      <c r="Z70" s="126" t="n"/>
      <c r="AA70" s="127" t="inlineStr">
        <is>
          <t>✓</t>
        </is>
      </c>
      <c r="AB70" s="126" t="n"/>
      <c r="AC70" s="126" t="n"/>
      <c r="AD70" s="126" t="n"/>
      <c r="AE70" s="127" t="inlineStr">
        <is>
          <t>✓</t>
        </is>
      </c>
      <c r="AF70" s="126" t="n"/>
      <c r="AG70" s="129" t="inlineStr">
        <is>
          <t>✓</t>
        </is>
      </c>
      <c r="AH70" s="126" t="n"/>
      <c r="AI70" s="126" t="n"/>
      <c r="AJ70" s="126" t="n"/>
    </row>
    <row r="71" ht="64.5" customHeight="1" s="109">
      <c r="A71" s="154" t="n">
        <v>69</v>
      </c>
      <c r="B71" s="155" t="inlineStr">
        <is>
          <t>Zhao et al.</t>
        </is>
      </c>
      <c r="C71" s="154" t="n">
        <v>2025</v>
      </c>
      <c r="D71" s="155" t="inlineStr">
        <is>
          <t>A comprehensive review of deep learning-based fault diagnosis approaches for rolling bearings: Advancements and challenges</t>
        </is>
      </c>
      <c r="E71" s="155" t="inlineStr">
        <is>
          <t>Rolling element bearings (review)</t>
        </is>
      </c>
      <c r="F71" s="155" t="inlineStr">
        <is>
          <t>Not specified</t>
        </is>
      </c>
      <c r="G71" s="155" t="inlineStr">
        <is>
          <t>Vibration; AE; temperature; general bearing faults</t>
        </is>
      </c>
      <c r="H71" s="155" t="inlineStr">
        <is>
          <t>Multi-sensor (review)</t>
        </is>
      </c>
      <c r="I71" s="144" t="inlineStr">
        <is>
          <t>Passive</t>
        </is>
      </c>
      <c r="J71" s="122" t="inlineStr">
        <is>
          <t>Semi-Invasive</t>
        </is>
      </c>
      <c r="K71" s="155" t="inlineStr">
        <is>
          <t>Accelerometers; AE sensors; thermocouples; microphones (review)</t>
        </is>
      </c>
      <c r="L71" s="155" t="inlineStr">
        <is>
          <t>DWT; wavelet energy; EMD; envelope; STFT; statistical features</t>
        </is>
      </c>
      <c r="M71" s="155" t="inlineStr">
        <is>
          <t>CNN; LSTM; ResNet; GAN; SVM; attention mechanisms (review)</t>
        </is>
      </c>
      <c r="N71" s="155" t="inlineStr">
        <is>
          <t>Hybrid DL</t>
        </is>
      </c>
      <c r="O71" s="149" t="inlineStr">
        <is>
          <t>L</t>
        </is>
      </c>
      <c r="P71" s="156" t="inlineStr">
        <is>
          <t>Comprehensive review of DL approaches for rolling bearing fault diagnosis; addresses incomplete information attention and long-term dependency challenges.</t>
        </is>
      </c>
      <c r="Q71" s="126" t="n"/>
      <c r="R71" s="126" t="n"/>
      <c r="S71" s="126" t="n"/>
      <c r="T71" s="125" t="inlineStr">
        <is>
          <t>✓</t>
        </is>
      </c>
      <c r="U71" s="126" t="n"/>
      <c r="V71" s="126" t="n"/>
      <c r="W71" s="126" t="n"/>
      <c r="X71" s="126" t="n"/>
      <c r="Y71" s="126" t="n"/>
      <c r="Z71" s="127" t="inlineStr">
        <is>
          <t>✓</t>
        </is>
      </c>
      <c r="AA71" s="127" t="inlineStr">
        <is>
          <t>✓</t>
        </is>
      </c>
      <c r="AB71" s="127" t="inlineStr">
        <is>
          <t>✓</t>
        </is>
      </c>
      <c r="AC71" s="127" t="inlineStr">
        <is>
          <t>✓</t>
        </is>
      </c>
      <c r="AD71" s="127" t="inlineStr">
        <is>
          <t>✓</t>
        </is>
      </c>
      <c r="AE71" s="126" t="n"/>
      <c r="AF71" s="129" t="inlineStr">
        <is>
          <t>✓</t>
        </is>
      </c>
      <c r="AG71" s="129" t="inlineStr">
        <is>
          <t>✓</t>
        </is>
      </c>
      <c r="AH71" s="129" t="inlineStr">
        <is>
          <t>✓</t>
        </is>
      </c>
      <c r="AI71" s="126" t="n"/>
      <c r="AJ71" s="126" t="n"/>
    </row>
    <row r="72" ht="64.5" customHeight="1" s="109">
      <c r="A72" s="145" t="n">
        <v>70</v>
      </c>
      <c r="B72" s="146" t="inlineStr">
        <is>
          <t>Siddique et al.</t>
        </is>
      </c>
      <c r="C72" s="145" t="n">
        <v>2025</v>
      </c>
      <c r="D72" s="146" t="inlineStr">
        <is>
          <t>A Hybrid Deep Learning Approach for Bearing Fault Diagnosis Using Continuous Wavelet Transform and Attention-Enhanced Spatiotemporal Feature Extraction</t>
        </is>
      </c>
      <c r="E72" s="146" t="inlineStr">
        <is>
          <t>Rolling element bearings</t>
        </is>
      </c>
      <c r="F72" s="146" t="inlineStr">
        <is>
          <t>Not specified</t>
        </is>
      </c>
      <c r="G72" s="146" t="inlineStr">
        <is>
          <t>Vibration (nonstationary, nonlinear); bearing faults</t>
        </is>
      </c>
      <c r="H72" s="146" t="inlineStr">
        <is>
          <t>Vibration</t>
        </is>
      </c>
      <c r="I72" s="144" t="inlineStr">
        <is>
          <t>Passive</t>
        </is>
      </c>
      <c r="J72" s="122" t="inlineStr">
        <is>
          <t>Semi-Invasive</t>
        </is>
      </c>
      <c r="K72" s="146" t="inlineStr">
        <is>
          <t>Accelerometers; AE sensors</t>
        </is>
      </c>
      <c r="L72" s="146" t="inlineStr">
        <is>
          <t>CWT (grayscale conversion); data augmentation (flipping, rotation, affine)</t>
        </is>
      </c>
      <c r="M72" s="146" t="inlineStr">
        <is>
          <t>1D ResNet + MHSA (Multi-Head Self-Attention) + Bi-LSTM + FC layers</t>
        </is>
      </c>
      <c r="N72" s="146" t="inlineStr">
        <is>
          <t>Hybrid DL</t>
        </is>
      </c>
      <c r="O72" s="149" t="inlineStr">
        <is>
          <t>L</t>
        </is>
      </c>
      <c r="P72" s="148" t="inlineStr">
        <is>
          <t>Hybrid CWT+attention+BiLSTM captures spatial-temporal features; superior generalisation across diverse fault conditions validated on multiple datasets.</t>
        </is>
      </c>
      <c r="Q72" s="126" t="n"/>
      <c r="R72" s="126" t="n"/>
      <c r="S72" s="126" t="n"/>
      <c r="T72" s="125" t="inlineStr">
        <is>
          <t>✓</t>
        </is>
      </c>
      <c r="U72" s="126" t="n"/>
      <c r="V72" s="126" t="n"/>
      <c r="W72" s="126" t="n"/>
      <c r="X72" s="126" t="n"/>
      <c r="Y72" s="126" t="n"/>
      <c r="Z72" s="126" t="n"/>
      <c r="AA72" s="127" t="inlineStr">
        <is>
          <t>✓</t>
        </is>
      </c>
      <c r="AB72" s="127" t="inlineStr">
        <is>
          <t>✓</t>
        </is>
      </c>
      <c r="AC72" s="127" t="inlineStr">
        <is>
          <t>✓</t>
        </is>
      </c>
      <c r="AD72" s="126" t="n"/>
      <c r="AE72" s="126" t="n"/>
      <c r="AF72" s="126" t="n"/>
      <c r="AG72" s="129" t="inlineStr">
        <is>
          <t>✓</t>
        </is>
      </c>
      <c r="AH72" s="129" t="inlineStr">
        <is>
          <t>✓</t>
        </is>
      </c>
      <c r="AI72" s="126" t="n"/>
      <c r="AJ72" s="126" t="n"/>
    </row>
    <row r="73" ht="64.5" customHeight="1" s="109">
      <c r="A73" s="145" t="n">
        <v>71</v>
      </c>
      <c r="B73" s="146" t="inlineStr">
        <is>
          <t>Pacheco-Chérrez et al.</t>
        </is>
      </c>
      <c r="C73" s="145" t="n">
        <v>2022</v>
      </c>
      <c r="D73" s="146" t="inlineStr">
        <is>
          <t>Bearing fault detection with vibration and acoustic signals: Comparison among different machine learning classification methods</t>
        </is>
      </c>
      <c r="E73" s="146" t="inlineStr">
        <is>
          <t>SKF 6204-2Z ball bearing</t>
        </is>
      </c>
      <c r="F73" s="146" t="inlineStr">
        <is>
          <t>Not specified</t>
        </is>
      </c>
      <c r="G73" s="146" t="inlineStr">
        <is>
          <t>Vibration + acoustic signals; fault types (ORF, IRF, BF, normal)</t>
        </is>
      </c>
      <c r="H73" s="146" t="inlineStr">
        <is>
          <t>Vibration + Acoustic</t>
        </is>
      </c>
      <c r="I73" s="144" t="inlineStr">
        <is>
          <t>Passive</t>
        </is>
      </c>
      <c r="J73" s="122" t="inlineStr">
        <is>
          <t>Semi-Invasive</t>
        </is>
      </c>
      <c r="K73" s="146" t="inlineStr">
        <is>
          <t>Triaxial accelerometer + microphone (2-sensor)</t>
        </is>
      </c>
      <c r="L73" s="146" t="inlineStr">
        <is>
          <t>FFT; wavelet packet decomposition; TSFD-LDA; statistical features</t>
        </is>
      </c>
      <c r="M73" s="146" t="inlineStr">
        <is>
          <t>SVM; OAA; RF; k-NN; NM; GMM; Decision Tree</t>
        </is>
      </c>
      <c r="N73" s="146" t="inlineStr">
        <is>
          <t>Classical ML</t>
        </is>
      </c>
      <c r="O73" s="149" t="inlineStr">
        <is>
          <t>L</t>
        </is>
      </c>
      <c r="P73" s="148" t="inlineStr">
        <is>
          <t>Multimodal vibration+acoustic approach improves bearing fault classification accuracy above 96%; systematic comparison of 7 ML classifiers.</t>
        </is>
      </c>
      <c r="Q73" s="126" t="n"/>
      <c r="R73" s="126" t="n"/>
      <c r="S73" s="126" t="n"/>
      <c r="T73" s="125" t="inlineStr">
        <is>
          <t>✓</t>
        </is>
      </c>
      <c r="U73" s="126" t="n"/>
      <c r="V73" s="126" t="n"/>
      <c r="W73" s="126" t="n"/>
      <c r="X73" s="126" t="n"/>
      <c r="Y73" s="125" t="inlineStr">
        <is>
          <t>✓</t>
        </is>
      </c>
      <c r="Z73" s="127" t="inlineStr">
        <is>
          <t>✓</t>
        </is>
      </c>
      <c r="AA73" s="127" t="inlineStr">
        <is>
          <t>✓</t>
        </is>
      </c>
      <c r="AB73" s="126" t="n"/>
      <c r="AC73" s="127" t="inlineStr">
        <is>
          <t>✓</t>
        </is>
      </c>
      <c r="AD73" s="126" t="n"/>
      <c r="AE73" s="126" t="n"/>
      <c r="AF73" s="129" t="inlineStr">
        <is>
          <t>✓</t>
        </is>
      </c>
      <c r="AG73" s="126" t="n"/>
      <c r="AH73" s="126" t="n"/>
      <c r="AI73" s="126" t="n"/>
      <c r="AJ73" s="126" t="n"/>
    </row>
    <row r="74" ht="64.5" customHeight="1" s="109">
      <c r="A74" s="145" t="n">
        <v>72</v>
      </c>
      <c r="B74" s="146" t="inlineStr">
        <is>
          <t>Lillelund et al.</t>
        </is>
      </c>
      <c r="C74" s="145" t="n">
        <v>2025</v>
      </c>
      <c r="D74" s="146" t="inlineStr">
        <is>
          <t>RULSurv: A probabilistic survival-based method for early censoring-aware prediction of remaining useful life in ball bearings</t>
        </is>
      </c>
      <c r="E74" s="146" t="inlineStr">
        <is>
          <t>Ball bearings (XJTU-SY dataset)</t>
        </is>
      </c>
      <c r="F74" s="146" t="inlineStr">
        <is>
          <t>Oil (context)</t>
        </is>
      </c>
      <c r="G74" s="146" t="inlineStr">
        <is>
          <t>Bearing degradation; failure time; censored data handling; health state</t>
        </is>
      </c>
      <c r="H74" s="146" t="inlineStr">
        <is>
          <t>Vibration</t>
        </is>
      </c>
      <c r="I74" s="144" t="inlineStr">
        <is>
          <t>Passive</t>
        </is>
      </c>
      <c r="J74" s="122" t="inlineStr">
        <is>
          <t>Semi-Invasive</t>
        </is>
      </c>
      <c r="K74" s="146" t="inlineStr">
        <is>
          <t>Accelerometer; XJTU-SY dataset (vibration signals)</t>
        </is>
      </c>
      <c r="L74" s="146" t="inlineStr">
        <is>
          <t>KL divergence; frequency band analysis (BPFO, BPFI, BSF, FTF); envelope; Hilbert transform</t>
        </is>
      </c>
      <c r="M74" s="146" t="inlineStr">
        <is>
          <t>Random Survival Forests; Cox Proportional Hazards model</t>
        </is>
      </c>
      <c r="N74" s="146" t="inlineStr">
        <is>
          <t>Survival</t>
        </is>
      </c>
      <c r="O74" s="149" t="inlineStr">
        <is>
          <t>L</t>
        </is>
      </c>
      <c r="P74" s="148" t="inlineStr">
        <is>
          <t>Probabilistic survival-based RUL prediction handles censored data; MAE 12.6–14.7 min with high generalisation across load conditions.</t>
        </is>
      </c>
      <c r="Q74" s="126" t="n"/>
      <c r="R74" s="126" t="n"/>
      <c r="S74" s="126" t="n"/>
      <c r="T74" s="125" t="inlineStr">
        <is>
          <t>✓</t>
        </is>
      </c>
      <c r="U74" s="126" t="n"/>
      <c r="V74" s="126" t="n"/>
      <c r="W74" s="126" t="n"/>
      <c r="X74" s="126" t="n"/>
      <c r="Y74" s="126" t="n"/>
      <c r="Z74" s="127" t="inlineStr">
        <is>
          <t>✓</t>
        </is>
      </c>
      <c r="AA74" s="126" t="n"/>
      <c r="AB74" s="127" t="inlineStr">
        <is>
          <t>✓</t>
        </is>
      </c>
      <c r="AC74" s="127" t="inlineStr">
        <is>
          <t>✓</t>
        </is>
      </c>
      <c r="AD74" s="126" t="n"/>
      <c r="AE74" s="126" t="n"/>
      <c r="AF74" s="126" t="n"/>
      <c r="AG74" s="126" t="n"/>
      <c r="AH74" s="126" t="n"/>
      <c r="AI74" s="126" t="n"/>
      <c r="AJ74" s="129" t="inlineStr">
        <is>
          <t>✓</t>
        </is>
      </c>
    </row>
    <row r="75" ht="64.5" customHeight="1" s="109">
      <c r="A75" s="154" t="n">
        <v>73</v>
      </c>
      <c r="B75" s="155" t="inlineStr">
        <is>
          <t>Desai et al.</t>
        </is>
      </c>
      <c r="C75" s="154" t="n">
        <v>2021</v>
      </c>
      <c r="D75" s="155" t="inlineStr">
        <is>
          <t>Lifetime Prediction Using a Tribology-Aware, Deep Learning-Based Digital Twin of Ball Bearing-Like Tribosystems in Oil and Gas</t>
        </is>
      </c>
      <c r="E75" s="155" t="inlineStr">
        <is>
          <t>Ball bearings (offshore/subsea)</t>
        </is>
      </c>
      <c r="F75" s="155" t="inlineStr">
        <is>
          <t>Commercial oil (Klubersynth GEM 4 N)</t>
        </is>
      </c>
      <c r="G75" s="155" t="inlineStr">
        <is>
          <t>Wear; friction torque; lubricant degradation; contact conditions; RUL</t>
        </is>
      </c>
      <c r="H75" s="155" t="inlineStr">
        <is>
          <t>Multi-sensor (Tribometer)</t>
        </is>
      </c>
      <c r="I75" s="144" t="inlineStr">
        <is>
          <t>Passive</t>
        </is>
      </c>
      <c r="J75" s="122" t="inlineStr">
        <is>
          <t>Semi-Invasive</t>
        </is>
      </c>
      <c r="K75" s="155" t="inlineStr">
        <is>
          <t>Four-ball tribometer + WSD microscopy + temperature sensors</t>
        </is>
      </c>
      <c r="L75" s="155" t="inlineStr">
        <is>
          <t>Wear scar analysis; time-series wear tracking; friction torque measurement</t>
        </is>
      </c>
      <c r="M75" s="155" t="inlineStr">
        <is>
          <t>CNN + multivariate CNN (physics-informed AI); digital twin</t>
        </is>
      </c>
      <c r="N75" s="155" t="inlineStr">
        <is>
          <t>Physics-NN</t>
        </is>
      </c>
      <c r="O75" s="123" t="inlineStr">
        <is>
          <t>H</t>
        </is>
      </c>
      <c r="P75" s="156" t="inlineStr">
        <is>
          <t>Tribology-aware digital twin combining experimental wear data and CNN achieves &gt;99% training / &gt;95% test accuracy for RUL prediction without explicit wear measurement.</t>
        </is>
      </c>
      <c r="Q75" s="126" t="n"/>
      <c r="R75" s="126" t="n"/>
      <c r="S75" s="126" t="n"/>
      <c r="T75" s="126" t="n"/>
      <c r="U75" s="126" t="n"/>
      <c r="V75" s="125" t="inlineStr">
        <is>
          <t>✓</t>
        </is>
      </c>
      <c r="W75" s="126" t="n"/>
      <c r="X75" s="126" t="n"/>
      <c r="Y75" s="125" t="inlineStr">
        <is>
          <t>✓</t>
        </is>
      </c>
      <c r="Z75" s="126" t="n"/>
      <c r="AA75" s="126" t="n"/>
      <c r="AB75" s="126" t="n"/>
      <c r="AC75" s="127" t="inlineStr">
        <is>
          <t>✓</t>
        </is>
      </c>
      <c r="AD75" s="126" t="n"/>
      <c r="AE75" s="127" t="inlineStr">
        <is>
          <t>✓</t>
        </is>
      </c>
      <c r="AF75" s="126" t="n"/>
      <c r="AG75" s="129" t="inlineStr">
        <is>
          <t>✓</t>
        </is>
      </c>
      <c r="AH75" s="126" t="n"/>
      <c r="AI75" s="129" t="inlineStr">
        <is>
          <t>✓</t>
        </is>
      </c>
      <c r="AJ75" s="126" t="n"/>
    </row>
    <row r="76" ht="64.5" customHeight="1" s="109">
      <c r="A76" s="145" t="n">
        <v>74</v>
      </c>
      <c r="B76" s="146" t="inlineStr">
        <is>
          <t>Zou et al.</t>
        </is>
      </c>
      <c r="C76" s="145" t="n">
        <v>2025</v>
      </c>
      <c r="D76" s="146" t="inlineStr">
        <is>
          <t>Research on the Bearing Remaining Useful Life Prediction Method Based on Optimized BiLSTM</t>
        </is>
      </c>
      <c r="E76" s="146" t="inlineStr">
        <is>
          <t>Ball bearings (general)</t>
        </is>
      </c>
      <c r="F76" s="146" t="inlineStr">
        <is>
          <t>Oil</t>
        </is>
      </c>
      <c r="G76" s="146" t="inlineStr">
        <is>
          <t>Bearing degradation; early degradation detection; failure progression</t>
        </is>
      </c>
      <c r="H76" s="146" t="inlineStr">
        <is>
          <t>Vibration</t>
        </is>
      </c>
      <c r="I76" s="153" t="inlineStr">
        <is>
          <t>Active + Passive</t>
        </is>
      </c>
      <c r="J76" s="122" t="inlineStr">
        <is>
          <t>Semi-Invasive</t>
        </is>
      </c>
      <c r="K76" s="146" t="inlineStr">
        <is>
          <t>Vibration sensors (multi-domain)</t>
        </is>
      </c>
      <c r="L76" s="146" t="inlineStr">
        <is>
          <t>VMD+NGO; Pearson correlation denoising; multi-domain features; KPCA; 3-sigma sliding window</t>
        </is>
      </c>
      <c r="M76" s="146" t="inlineStr">
        <is>
          <t>BiLSTM + attention mechanism + SSA (Sparrow Search) optimiser</t>
        </is>
      </c>
      <c r="N76" s="146" t="inlineStr">
        <is>
          <t>Hybrid DL</t>
        </is>
      </c>
      <c r="O76" s="149" t="inlineStr">
        <is>
          <t>L</t>
        </is>
      </c>
      <c r="P76" s="148" t="inlineStr">
        <is>
          <t>Optimised BiLSTM with dynamic threshold setting improves RUL prediction accuracy; VMD+KPCA feature pipeline with early degradation detection capability.</t>
        </is>
      </c>
      <c r="Q76" s="126" t="n"/>
      <c r="R76" s="126" t="n"/>
      <c r="S76" s="126" t="n"/>
      <c r="T76" s="125" t="inlineStr">
        <is>
          <t>✓</t>
        </is>
      </c>
      <c r="U76" s="126" t="n"/>
      <c r="V76" s="126" t="n"/>
      <c r="W76" s="126" t="n"/>
      <c r="X76" s="126" t="n"/>
      <c r="Y76" s="126" t="n"/>
      <c r="Z76" s="127" t="inlineStr">
        <is>
          <t>✓</t>
        </is>
      </c>
      <c r="AA76" s="127" t="inlineStr">
        <is>
          <t>✓</t>
        </is>
      </c>
      <c r="AB76" s="126" t="n"/>
      <c r="AC76" s="127" t="inlineStr">
        <is>
          <t>✓</t>
        </is>
      </c>
      <c r="AD76" s="127" t="inlineStr">
        <is>
          <t>✓</t>
        </is>
      </c>
      <c r="AE76" s="126" t="n"/>
      <c r="AF76" s="126" t="n"/>
      <c r="AG76" s="126" t="n"/>
      <c r="AH76" s="129" t="inlineStr">
        <is>
          <t>✓</t>
        </is>
      </c>
      <c r="AI76" s="126" t="n"/>
      <c r="AJ76" s="126" t="n"/>
    </row>
    <row r="77" ht="64.5" customHeight="1" s="109">
      <c r="A77" s="145" t="n">
        <v>75</v>
      </c>
      <c r="B77" s="146" t="inlineStr">
        <is>
          <t>Hotait et al.</t>
        </is>
      </c>
      <c r="C77" s="145" t="n">
        <v>2021</v>
      </c>
      <c r="D77" s="146" t="inlineStr">
        <is>
          <t>Intelligent Online Monitoring of Rolling Bearing: Diagnosis and Prognosis</t>
        </is>
      </c>
      <c r="E77" s="146" t="inlineStr">
        <is>
          <t>Rolling bearings (general)</t>
        </is>
      </c>
      <c r="F77" s="146" t="inlineStr">
        <is>
          <t>Not specified</t>
        </is>
      </c>
      <c r="G77" s="146" t="inlineStr">
        <is>
          <t>Vibration signals; bearing degradation; fault states; health indicator</t>
        </is>
      </c>
      <c r="H77" s="146" t="inlineStr">
        <is>
          <t>Vibration</t>
        </is>
      </c>
      <c r="I77" s="144" t="inlineStr">
        <is>
          <t>Passive</t>
        </is>
      </c>
      <c r="J77" s="122" t="inlineStr">
        <is>
          <t>Semi-Invasive</t>
        </is>
      </c>
      <c r="K77" s="146" t="inlineStr">
        <is>
          <t>Vibration sensors (general)</t>
        </is>
      </c>
      <c r="L77" s="146" t="inlineStr">
        <is>
          <t>KPCA; spectral kurtosis; time/frequency analysis</t>
        </is>
      </c>
      <c r="M77" s="146" t="inlineStr">
        <is>
          <t>DBSCAN clustering; LSTM; NARX network</t>
        </is>
      </c>
      <c r="N77" s="146" t="inlineStr">
        <is>
          <t>Hybrid DL</t>
        </is>
      </c>
      <c r="O77" s="149" t="inlineStr">
        <is>
          <t>L</t>
        </is>
      </c>
      <c r="P77" s="148" t="inlineStr">
        <is>
          <t>DBSCAN density-based clustering with LSTM combines degradation detection with RUL prediction for noisy industrial bearing monitoring conditions.</t>
        </is>
      </c>
      <c r="Q77" s="126" t="n"/>
      <c r="R77" s="126" t="n"/>
      <c r="S77" s="126" t="n"/>
      <c r="T77" s="125" t="inlineStr">
        <is>
          <t>✓</t>
        </is>
      </c>
      <c r="U77" s="126" t="n"/>
      <c r="V77" s="126" t="n"/>
      <c r="W77" s="126" t="n"/>
      <c r="X77" s="126" t="n"/>
      <c r="Y77" s="126" t="n"/>
      <c r="Z77" s="127" t="inlineStr">
        <is>
          <t>✓</t>
        </is>
      </c>
      <c r="AA77" s="127" t="inlineStr">
        <is>
          <t>✓</t>
        </is>
      </c>
      <c r="AB77" s="126" t="n"/>
      <c r="AC77" s="127" t="inlineStr">
        <is>
          <t>✓</t>
        </is>
      </c>
      <c r="AD77" s="126" t="n"/>
      <c r="AE77" s="126" t="n"/>
      <c r="AF77" s="126" t="n"/>
      <c r="AG77" s="126" t="n"/>
      <c r="AH77" s="129" t="inlineStr">
        <is>
          <t>✓</t>
        </is>
      </c>
      <c r="AI77" s="126" t="n"/>
      <c r="AJ77" s="126" t="n"/>
    </row>
    <row r="78" ht="64.5" customHeight="1" s="109">
      <c r="A78" s="145" t="n">
        <v>76</v>
      </c>
      <c r="B78" s="146" t="inlineStr">
        <is>
          <t>Xiao et al.</t>
        </is>
      </c>
      <c r="C78" s="145" t="n">
        <v>2025</v>
      </c>
      <c r="D78" s="146" t="inlineStr">
        <is>
          <t>VFQB: A Novel Deep Learning Model for Rolling Bearing Fault Diagnosis</t>
        </is>
      </c>
      <c r="E78" s="146" t="inlineStr">
        <is>
          <t>Rolling bearings (CWRU dataset)</t>
        </is>
      </c>
      <c r="F78" s="146" t="inlineStr">
        <is>
          <t>Not specified</t>
        </is>
      </c>
      <c r="G78" s="146" t="inlineStr">
        <is>
          <t>Vibration; weak fault features in complex environments</t>
        </is>
      </c>
      <c r="H78" s="146" t="inlineStr">
        <is>
          <t>Vibration</t>
        </is>
      </c>
      <c r="I78" s="144" t="inlineStr">
        <is>
          <t>Passive</t>
        </is>
      </c>
      <c r="J78" s="122" t="inlineStr">
        <is>
          <t>Semi-Invasive</t>
        </is>
      </c>
      <c r="K78" s="146" t="inlineStr">
        <is>
          <t>Vibration sensors (accelerometers)</t>
        </is>
      </c>
      <c r="L78" s="146" t="inlineStr">
        <is>
          <t>VMD; FFT; spectral analysis</t>
        </is>
      </c>
      <c r="M78" s="146" t="inlineStr">
        <is>
          <t>BiGRU + Quadratic Neural Network + FC/softmax classifier</t>
        </is>
      </c>
      <c r="N78" s="146" t="inlineStr">
        <is>
          <t>Hybrid DL</t>
        </is>
      </c>
      <c r="O78" s="149" t="inlineStr">
        <is>
          <t>L</t>
        </is>
      </c>
      <c r="P78" s="148" t="inlineStr">
        <is>
          <t>VMD/FFT-Quadratic-BiGRU effectively extracts weak fault features with noise suppression; achieves 100% diagnostic accuracy on benchmark CWRU dataset.</t>
        </is>
      </c>
      <c r="Q78" s="126" t="n"/>
      <c r="R78" s="126" t="n"/>
      <c r="S78" s="126" t="n"/>
      <c r="T78" s="125" t="inlineStr">
        <is>
          <t>✓</t>
        </is>
      </c>
      <c r="U78" s="126" t="n"/>
      <c r="V78" s="126" t="n"/>
      <c r="W78" s="126" t="n"/>
      <c r="X78" s="126" t="n"/>
      <c r="Y78" s="126" t="n"/>
      <c r="Z78" s="127" t="inlineStr">
        <is>
          <t>✓</t>
        </is>
      </c>
      <c r="AA78" s="127" t="inlineStr">
        <is>
          <t>✓</t>
        </is>
      </c>
      <c r="AB78" s="126" t="n"/>
      <c r="AC78" s="127" t="inlineStr">
        <is>
          <t>✓</t>
        </is>
      </c>
      <c r="AD78" s="127" t="inlineStr">
        <is>
          <t>✓</t>
        </is>
      </c>
      <c r="AE78" s="126" t="n"/>
      <c r="AF78" s="126" t="n"/>
      <c r="AG78" s="129" t="inlineStr">
        <is>
          <t>✓</t>
        </is>
      </c>
      <c r="AH78" s="129" t="inlineStr">
        <is>
          <t>✓</t>
        </is>
      </c>
      <c r="AI78" s="126" t="n"/>
      <c r="AJ78" s="126" t="n"/>
    </row>
    <row r="79" ht="64.5" customHeight="1" s="109">
      <c r="A79" s="145" t="n">
        <v>77</v>
      </c>
      <c r="B79" s="146" t="inlineStr">
        <is>
          <t>Chennana et al.</t>
        </is>
      </c>
      <c r="C79" s="145" t="n">
        <v>2025</v>
      </c>
      <c r="D79" s="146" t="inlineStr">
        <is>
          <t>Vibration signal analysis for rolling bearings faults diagnosis based on deep-shallow features fusion</t>
        </is>
      </c>
      <c r="E79" s="146" t="inlineStr">
        <is>
          <t>Rolling bearings (induction motor)</t>
        </is>
      </c>
      <c r="F79" s="146" t="inlineStr">
        <is>
          <t>Not specified</t>
        </is>
      </c>
      <c r="G79" s="146" t="inlineStr">
        <is>
          <t>Vibration waveforms; motor bearing faults</t>
        </is>
      </c>
      <c r="H79" s="146" t="inlineStr">
        <is>
          <t>Vibration</t>
        </is>
      </c>
      <c r="I79" s="144" t="inlineStr">
        <is>
          <t>Passive</t>
        </is>
      </c>
      <c r="J79" s="122" t="inlineStr">
        <is>
          <t>Semi-Invasive</t>
        </is>
      </c>
      <c r="K79" s="146" t="inlineStr">
        <is>
          <t>Vibration sensors in induction motors</t>
        </is>
      </c>
      <c r="L79" s="146" t="inlineStr">
        <is>
          <t>Log Mel-spectrogram; STFT; EDA dimensionality reduction</t>
        </is>
      </c>
      <c r="M79" s="146" t="inlineStr">
        <is>
          <t>MBH-LPQ (shallow) + VGGish CNN (deep) + weighted score-level fusion</t>
        </is>
      </c>
      <c r="N79" s="146" t="inlineStr">
        <is>
          <t>Hybrid DL</t>
        </is>
      </c>
      <c r="O79" s="149" t="inlineStr">
        <is>
          <t>L</t>
        </is>
      </c>
      <c r="P79" s="148" t="inlineStr">
        <is>
          <t>Deep-shallow feature fusion achieves 98.95% accuracy on noisy bearing datasets; integrates handcrafted (shallow) and learned (deep) features at score level.</t>
        </is>
      </c>
      <c r="Q79" s="126" t="n"/>
      <c r="R79" s="126" t="n"/>
      <c r="S79" s="126" t="n"/>
      <c r="T79" s="125" t="inlineStr">
        <is>
          <t>✓</t>
        </is>
      </c>
      <c r="U79" s="126" t="n"/>
      <c r="V79" s="126" t="n"/>
      <c r="W79" s="126" t="n"/>
      <c r="X79" s="126" t="n"/>
      <c r="Y79" s="126" t="n"/>
      <c r="Z79" s="127" t="inlineStr">
        <is>
          <t>✓</t>
        </is>
      </c>
      <c r="AA79" s="127" t="inlineStr">
        <is>
          <t>✓</t>
        </is>
      </c>
      <c r="AB79" s="126" t="n"/>
      <c r="AC79" s="127" t="inlineStr">
        <is>
          <t>✓</t>
        </is>
      </c>
      <c r="AD79" s="126" t="n"/>
      <c r="AE79" s="126" t="n"/>
      <c r="AF79" s="129" t="inlineStr">
        <is>
          <t>✓</t>
        </is>
      </c>
      <c r="AG79" s="129" t="inlineStr">
        <is>
          <t>✓</t>
        </is>
      </c>
      <c r="AH79" s="126" t="n"/>
      <c r="AI79" s="126" t="n"/>
      <c r="AJ79" s="126" t="n"/>
    </row>
    <row r="80" ht="64.5" customHeight="1" s="109">
      <c r="A80" s="145" t="n">
        <v>78</v>
      </c>
      <c r="B80" s="146" t="inlineStr">
        <is>
          <t>Jung, Bae &amp; Park</t>
        </is>
      </c>
      <c r="C80" s="145" t="n">
        <v>2024</v>
      </c>
      <c r="D80" s="146" t="inlineStr">
        <is>
          <t>Acoustic signal based non-contact ball bearing fault diagnosis using adaptive wavelet denoising</t>
        </is>
      </c>
      <c r="E80" s="146" t="inlineStr">
        <is>
          <t>Ball bearings NSK 6205</t>
        </is>
      </c>
      <c r="F80" s="146" t="inlineStr">
        <is>
          <t>Not specified</t>
        </is>
      </c>
      <c r="G80" s="146" t="inlineStr">
        <is>
          <t>Acoustic signals from bearing defects; impulse characteristics</t>
        </is>
      </c>
      <c r="H80" s="146" t="inlineStr">
        <is>
          <t>Acoustic (non-contact)</t>
        </is>
      </c>
      <c r="I80" s="144" t="inlineStr">
        <is>
          <t>Passive</t>
        </is>
      </c>
      <c r="J80" s="122" t="inlineStr">
        <is>
          <t>Semi-Invasive</t>
        </is>
      </c>
      <c r="K80" s="146" t="inlineStr">
        <is>
          <t>Microphone (non-contact, 51.2 kHz)</t>
        </is>
      </c>
      <c r="L80" s="146" t="inlineStr">
        <is>
          <t>Adaptive wavelet denoising (kurtosis-entropy optimisation); log Mel-spectrogram</t>
        </is>
      </c>
      <c r="M80" s="146" t="inlineStr">
        <is>
          <t>1D CNN (ResNet-20 modified)</t>
        </is>
      </c>
      <c r="N80" s="146" t="inlineStr">
        <is>
          <t>CNN</t>
        </is>
      </c>
      <c r="O80" s="134" t="inlineStr">
        <is>
          <t>M</t>
        </is>
      </c>
      <c r="P80" s="148" t="inlineStr">
        <is>
          <t>Non-contact acoustic diagnosis combining adaptive wavelet denoising with 1D CNN; improves accuracy from 52.1% (raw) to 91.8% (denoised features).</t>
        </is>
      </c>
      <c r="Q80" s="126" t="n"/>
      <c r="R80" s="126" t="n"/>
      <c r="S80" s="126" t="n"/>
      <c r="T80" s="126" t="n"/>
      <c r="U80" s="126" t="n"/>
      <c r="V80" s="126" t="n"/>
      <c r="W80" s="126" t="n"/>
      <c r="X80" s="126" t="n"/>
      <c r="Y80" s="126" t="n"/>
      <c r="Z80" s="126" t="n"/>
      <c r="AA80" s="127" t="inlineStr">
        <is>
          <t>✓</t>
        </is>
      </c>
      <c r="AB80" s="126" t="n"/>
      <c r="AC80" s="127" t="inlineStr">
        <is>
          <t>✓</t>
        </is>
      </c>
      <c r="AD80" s="127" t="inlineStr">
        <is>
          <t>✓</t>
        </is>
      </c>
      <c r="AE80" s="126" t="n"/>
      <c r="AF80" s="126" t="n"/>
      <c r="AG80" s="129" t="inlineStr">
        <is>
          <t>✓</t>
        </is>
      </c>
      <c r="AH80" s="126" t="n"/>
      <c r="AI80" s="126" t="n"/>
      <c r="AJ80" s="126" t="n"/>
    </row>
    <row r="81" ht="64.5" customHeight="1" s="109">
      <c r="A81" s="138" t="n">
        <v>79</v>
      </c>
      <c r="B81" s="139" t="inlineStr">
        <is>
          <t>Wensing et al.</t>
        </is>
      </c>
      <c r="C81" s="138" t="n">
        <v>2016</v>
      </c>
      <c r="D81" s="139" t="inlineStr">
        <is>
          <t>Friction of hybrid and steel ball bearings in mixed lubrication</t>
        </is>
      </c>
      <c r="E81" s="139" t="inlineStr">
        <is>
          <t>DGBB 6306 (hybrid Si₃N₄ vs. steel)</t>
        </is>
      </c>
      <c r="F81" s="139" t="inlineStr">
        <is>
          <t>Synthetic ester oil (mixed lubrication)</t>
        </is>
      </c>
      <c r="G81" s="139" t="inlineStr">
        <is>
          <t>Friction torque; temperature rise; thermal conductivity; mixed lubrication performance</t>
        </is>
      </c>
      <c r="H81" s="139" t="inlineStr">
        <is>
          <t>Tribometry + Thermal</t>
        </is>
      </c>
      <c r="I81" s="144" t="inlineStr">
        <is>
          <t>Passive</t>
        </is>
      </c>
      <c r="J81" s="147" t="inlineStr">
        <is>
          <t>Non-Invasive</t>
        </is>
      </c>
      <c r="K81" s="139" t="inlineStr">
        <is>
          <t>Torque sensor (HBM T22/50 Nm) + Type-K thermocouples (inner/outer ring)</t>
        </is>
      </c>
      <c r="L81" s="139" t="inlineStr">
        <is>
          <t>Calibration curves; temperature monitoring ±0.5 °C</t>
        </is>
      </c>
      <c r="M81" s="139" t="inlineStr">
        <is>
          <t>None</t>
        </is>
      </c>
      <c r="N81" s="139" t="inlineStr">
        <is>
          <t>None</t>
        </is>
      </c>
      <c r="O81" s="134" t="inlineStr">
        <is>
          <t>M</t>
        </is>
      </c>
      <c r="P81" s="140" t="inlineStr">
        <is>
          <t>Hybrid bearings run 2–4 °C cooler than steel under mixed lubrication; FZG test shows ~3% efficiency improvement; comparable temperature gradients.</t>
        </is>
      </c>
      <c r="Q81" s="126" t="n"/>
      <c r="R81" s="126" t="n"/>
      <c r="S81" s="126" t="n"/>
      <c r="T81" s="126" t="n"/>
      <c r="U81" s="126" t="n"/>
      <c r="V81" s="125" t="inlineStr">
        <is>
          <t>✓</t>
        </is>
      </c>
      <c r="W81" s="126" t="n"/>
      <c r="X81" s="126" t="n"/>
      <c r="Y81" s="126" t="n"/>
      <c r="Z81" s="126" t="n"/>
      <c r="AA81" s="126" t="n"/>
      <c r="AB81" s="126" t="n"/>
      <c r="AC81" s="127" t="inlineStr">
        <is>
          <t>✓</t>
        </is>
      </c>
      <c r="AD81" s="126" t="n"/>
      <c r="AE81" s="127" t="inlineStr">
        <is>
          <t>✓</t>
        </is>
      </c>
      <c r="AF81" s="126" t="n"/>
      <c r="AG81" s="126" t="n"/>
      <c r="AH81" s="126" t="n"/>
      <c r="AI81" s="126" t="n"/>
      <c r="AJ81" s="126" t="n"/>
    </row>
    <row r="82" ht="64.5" customHeight="1" s="109">
      <c r="A82" s="138" t="n">
        <v>80</v>
      </c>
      <c r="B82" s="139" t="inlineStr">
        <is>
          <t>Cousseau et al.</t>
        </is>
      </c>
      <c r="C82" s="138" t="n">
        <v>2010</v>
      </c>
      <c r="D82" s="139" t="inlineStr">
        <is>
          <t>Experimental measuring procedure for the friction torque in rolling bearings</t>
        </is>
      </c>
      <c r="E82" s="139" t="inlineStr">
        <is>
          <t>Thrust ball bearings (S1107)</t>
        </is>
      </c>
      <c r="F82" s="139" t="inlineStr">
        <is>
          <t>Oil/grease (biodegradable vs. conventional)</t>
        </is>
      </c>
      <c r="G82" s="139" t="inlineStr">
        <is>
          <t>Friction torque; power loss; heat generation</t>
        </is>
      </c>
      <c r="H82" s="139" t="inlineStr">
        <is>
          <t>Tribometry</t>
        </is>
      </c>
      <c r="I82" s="144" t="inlineStr">
        <is>
          <t>Passive</t>
        </is>
      </c>
      <c r="J82" s="122" t="inlineStr">
        <is>
          <t>Semi-Invasive</t>
        </is>
      </c>
      <c r="K82" s="139" t="inlineStr">
        <is>
          <t>Piezoelectric torque cell (KISTLER 9339A) + thermocouples; modified Four-Ball Machine</t>
        </is>
      </c>
      <c r="L82" s="139" t="inlineStr">
        <is>
          <t>Virtual instrument data acquisition; drift compensation</t>
        </is>
      </c>
      <c r="M82" s="139" t="inlineStr">
        <is>
          <t>None</t>
        </is>
      </c>
      <c r="N82" s="139" t="inlineStr">
        <is>
          <t>None</t>
        </is>
      </c>
      <c r="O82" s="134" t="inlineStr">
        <is>
          <t>M</t>
        </is>
      </c>
      <c r="P82" s="140" t="inlineStr">
        <is>
          <t>Experimental methodology for friction torque measurement using modified Four-Ball Machine; enables comparison of biodegradable vs. conventional lubricants.</t>
        </is>
      </c>
      <c r="Q82" s="126" t="n"/>
      <c r="R82" s="126" t="n"/>
      <c r="S82" s="126" t="n"/>
      <c r="T82" s="126" t="n"/>
      <c r="U82" s="126" t="n"/>
      <c r="V82" s="125" t="inlineStr">
        <is>
          <t>✓</t>
        </is>
      </c>
      <c r="W82" s="126" t="n"/>
      <c r="X82" s="126" t="n"/>
      <c r="Y82" s="126" t="n"/>
      <c r="Z82" s="126" t="n"/>
      <c r="AA82" s="126" t="n"/>
      <c r="AB82" s="126" t="n"/>
      <c r="AC82" s="127" t="inlineStr">
        <is>
          <t>✓</t>
        </is>
      </c>
      <c r="AD82" s="126" t="n"/>
      <c r="AE82" s="126" t="n"/>
      <c r="AF82" s="126" t="n"/>
      <c r="AG82" s="126" t="n"/>
      <c r="AH82" s="126" t="n"/>
      <c r="AI82" s="126" t="n"/>
      <c r="AJ82" s="126" t="n"/>
    </row>
    <row r="83" ht="64.5" customHeight="1" s="109">
      <c r="A83" s="138" t="n">
        <v>81</v>
      </c>
      <c r="B83" s="139" t="inlineStr">
        <is>
          <t>Geonea et al.</t>
        </is>
      </c>
      <c r="C83" s="138" t="n">
        <v>2017</v>
      </c>
      <c r="D83" s="139" t="inlineStr">
        <is>
          <t>Experimental and theoretical study of friction torque from radial ball bearings</t>
        </is>
      </c>
      <c r="E83" s="139" t="inlineStr">
        <is>
          <t>Radial ball bearing 6204</t>
        </is>
      </c>
      <c r="F83" s="139" t="inlineStr">
        <is>
          <t>Grease/oil</t>
        </is>
      </c>
      <c r="G83" s="139" t="inlineStr">
        <is>
          <t>Total friction torque; bearing deformation; bending stress</t>
        </is>
      </c>
      <c r="H83" s="139" t="inlineStr">
        <is>
          <t>Tribometry</t>
        </is>
      </c>
      <c r="I83" s="144" t="inlineStr">
        <is>
          <t>Passive</t>
        </is>
      </c>
      <c r="J83" s="122" t="inlineStr">
        <is>
          <t>Semi-Invasive</t>
        </is>
      </c>
      <c r="K83" s="139" t="inlineStr">
        <is>
          <t>Strain gauge transducers (MGCPlus); elastic beam coupling</t>
        </is>
      </c>
      <c r="L83" s="139" t="inlineStr">
        <is>
          <t>Calibration (linear regression R²=0.9995); Adams multibody simulation</t>
        </is>
      </c>
      <c r="M83" s="139" t="inlineStr">
        <is>
          <t>None</t>
        </is>
      </c>
      <c r="N83" s="139" t="inlineStr">
        <is>
          <t>None</t>
        </is>
      </c>
      <c r="O83" s="134" t="inlineStr">
        <is>
          <t>M</t>
        </is>
      </c>
      <c r="P83" s="140" t="inlineStr">
        <is>
          <t>Virtual CAD model and test bench correlate friction torque with radial load; elastic deformation measurements enable precise friction characterisation.</t>
        </is>
      </c>
      <c r="Q83" s="126" t="n"/>
      <c r="R83" s="126" t="n"/>
      <c r="S83" s="126" t="n"/>
      <c r="T83" s="126" t="n"/>
      <c r="U83" s="126" t="n"/>
      <c r="V83" s="126" t="n"/>
      <c r="W83" s="126" t="n"/>
      <c r="X83" s="126" t="n"/>
      <c r="Y83" s="126" t="n"/>
      <c r="Z83" s="126" t="n"/>
      <c r="AA83" s="126" t="n"/>
      <c r="AB83" s="126" t="n"/>
      <c r="AC83" s="127" t="inlineStr">
        <is>
          <t>✓</t>
        </is>
      </c>
      <c r="AD83" s="126" t="n"/>
      <c r="AE83" s="127" t="inlineStr">
        <is>
          <t>✓</t>
        </is>
      </c>
      <c r="AF83" s="126" t="n"/>
      <c r="AG83" s="126" t="n"/>
      <c r="AH83" s="126" t="n"/>
      <c r="AI83" s="126" t="n"/>
      <c r="AJ83" s="126" t="n"/>
    </row>
    <row r="84" ht="64.5" customHeight="1" s="109">
      <c r="A84" s="138" t="n">
        <v>82</v>
      </c>
      <c r="B84" s="139" t="inlineStr">
        <is>
          <t>Cojocaru et al.</t>
        </is>
      </c>
      <c r="C84" s="138" t="n">
        <v>2025</v>
      </c>
      <c r="D84" s="139" t="inlineStr">
        <is>
          <t>Friction Torque in Miniature Ball Bearings</t>
        </is>
      </c>
      <c r="E84" s="139" t="inlineStr">
        <is>
          <t>Miniature ACBB 7000C</t>
        </is>
      </c>
      <c r="F84" s="139" t="inlineStr">
        <is>
          <t>Oil (Shell Helix HX8 SAE 5W-30, SAE 90 EP2) + grease (4 types)</t>
        </is>
      </c>
      <c r="G84" s="139" t="inlineStr">
        <is>
          <t>Friction torque components (hydrodynamic; curvature; elastic; pivoting; cage)</t>
        </is>
      </c>
      <c r="H84" s="139" t="inlineStr">
        <is>
          <t>Tribometry</t>
        </is>
      </c>
      <c r="I84" s="144" t="inlineStr">
        <is>
          <t>Passive</t>
        </is>
      </c>
      <c r="J84" s="122" t="inlineStr">
        <is>
          <t>Semi-Invasive</t>
        </is>
      </c>
      <c r="K84" s="139" t="inlineStr">
        <is>
          <t>Spin-down method; torque + rotational speed measurement (100–700 rpm)</t>
        </is>
      </c>
      <c r="L84" s="139" t="inlineStr">
        <is>
          <t>Houpert IVR model; SKF &amp; Schaeffler friction methodologies</t>
        </is>
      </c>
      <c r="M84" s="139" t="inlineStr">
        <is>
          <t>None</t>
        </is>
      </c>
      <c r="N84" s="139" t="inlineStr">
        <is>
          <t>None</t>
        </is>
      </c>
      <c r="O84" s="134" t="inlineStr">
        <is>
          <t>M</t>
        </is>
      </c>
      <c r="P84" s="140" t="inlineStr">
        <is>
          <t>Comprehensive friction torque estimation for miniature ACBB via spin-down; hydrodynamic rolling resistance dominant component at 100–700 rpm.</t>
        </is>
      </c>
      <c r="Q84" s="126" t="n"/>
      <c r="R84" s="126" t="n"/>
      <c r="S84" s="126" t="n"/>
      <c r="T84" s="126" t="n"/>
      <c r="U84" s="126" t="n"/>
      <c r="V84" s="126" t="n"/>
      <c r="W84" s="126" t="n"/>
      <c r="X84" s="126" t="n"/>
      <c r="Y84" s="126" t="n"/>
      <c r="Z84" s="126" t="n"/>
      <c r="AA84" s="126" t="n"/>
      <c r="AB84" s="126" t="n"/>
      <c r="AC84" s="127" t="inlineStr">
        <is>
          <t>✓</t>
        </is>
      </c>
      <c r="AD84" s="126" t="n"/>
      <c r="AE84" s="127" t="inlineStr">
        <is>
          <t>✓</t>
        </is>
      </c>
      <c r="AF84" s="126" t="n"/>
      <c r="AG84" s="126" t="n"/>
      <c r="AH84" s="126" t="n"/>
      <c r="AI84" s="126" t="n"/>
      <c r="AJ84" s="126" t="n"/>
    </row>
    <row r="85" ht="64.5" customHeight="1" s="109">
      <c r="A85" s="138" t="n">
        <v>83</v>
      </c>
      <c r="B85" s="139" t="inlineStr">
        <is>
          <t>Wu P. et al.</t>
        </is>
      </c>
      <c r="C85" s="138" t="n">
        <v>2025</v>
      </c>
      <c r="D85" s="139" t="inlineStr">
        <is>
          <t>Measurement of the equivalent friction coefficient of ball bearings based on the variations in kinetic energy</t>
        </is>
      </c>
      <c r="E85" s="139" t="inlineStr">
        <is>
          <t>ACBB + DGBB</t>
        </is>
      </c>
      <c r="F85" s="139" t="inlineStr">
        <is>
          <t>Oil</t>
        </is>
      </c>
      <c r="G85" s="139" t="inlineStr">
        <is>
          <t>Friction torque; kinetic energy loss; angular speed decay</t>
        </is>
      </c>
      <c r="H85" s="139" t="inlineStr">
        <is>
          <t>Tribometry (kinetic energy)</t>
        </is>
      </c>
      <c r="I85" s="144" t="inlineStr">
        <is>
          <t>Passive</t>
        </is>
      </c>
      <c r="J85" s="122" t="inlineStr">
        <is>
          <t>Semi-Invasive</t>
        </is>
      </c>
      <c r="K85" s="139" t="inlineStr">
        <is>
          <t>High-precision raster (angular speed) + force transducer + strain gauge + torque transducer</t>
        </is>
      </c>
      <c r="L85" s="139" t="inlineStr">
        <is>
          <t>Kinetic energy theorem; angular speed monitoring</t>
        </is>
      </c>
      <c r="M85" s="139" t="inlineStr">
        <is>
          <t>None</t>
        </is>
      </c>
      <c r="N85" s="139" t="inlineStr">
        <is>
          <t>None</t>
        </is>
      </c>
      <c r="O85" s="134" t="inlineStr">
        <is>
          <t>M</t>
        </is>
      </c>
      <c r="P85" s="140" t="inlineStr">
        <is>
          <t>Novel kinetic energy method measures equivalent friction coefficient without direct torque sensor; high accuracy and stability for bearing lubrication characterisation.</t>
        </is>
      </c>
      <c r="Q85" s="126" t="n"/>
      <c r="R85" s="126" t="n"/>
      <c r="S85" s="126" t="n"/>
      <c r="T85" s="126" t="n"/>
      <c r="U85" s="126" t="n"/>
      <c r="V85" s="126" t="n"/>
      <c r="W85" s="126" t="n"/>
      <c r="X85" s="126" t="n"/>
      <c r="Y85" s="126" t="n"/>
      <c r="Z85" s="126" t="n"/>
      <c r="AA85" s="126" t="n"/>
      <c r="AB85" s="126" t="n"/>
      <c r="AC85" s="127" t="inlineStr">
        <is>
          <t>✓</t>
        </is>
      </c>
      <c r="AD85" s="126" t="n"/>
      <c r="AE85" s="127" t="inlineStr">
        <is>
          <t>✓</t>
        </is>
      </c>
      <c r="AF85" s="126" t="n"/>
      <c r="AG85" s="126" t="n"/>
      <c r="AH85" s="126" t="n"/>
      <c r="AI85" s="126" t="n"/>
      <c r="AJ85" s="126" t="n"/>
    </row>
    <row r="86" ht="64.5" customHeight="1" s="109">
      <c r="A86" s="154" t="n">
        <v>84</v>
      </c>
      <c r="B86" s="155" t="inlineStr">
        <is>
          <t>Nassef et al.</t>
        </is>
      </c>
      <c r="C86" s="154" t="n">
        <v>2022</v>
      </c>
      <c r="D86" s="155" t="inlineStr">
        <is>
          <t>Impact of Graphene Nano-Additives to Lithium Grease on the Dynamic and Tribological Behavior of Rolling Bearings</t>
        </is>
      </c>
      <c r="E86" s="155" t="inlineStr">
        <is>
          <t>DGBB 6006 ZZ</t>
        </is>
      </c>
      <c r="F86" s="155" t="inlineStr">
        <is>
          <t>Li grease + graphene (rGO/MWCNTs, 0.5–5 wt.%)</t>
        </is>
      </c>
      <c r="G86" s="155" t="inlineStr">
        <is>
          <t>Vibration; damping ratio; friction torque; temperature; load-carrying capacity</t>
        </is>
      </c>
      <c r="H86" s="155" t="inlineStr">
        <is>
          <t>Multi-sensor</t>
        </is>
      </c>
      <c r="I86" s="144" t="inlineStr">
        <is>
          <t>Passive</t>
        </is>
      </c>
      <c r="J86" s="122" t="inlineStr">
        <is>
          <t>Semi-Invasive</t>
        </is>
      </c>
      <c r="K86" s="155" t="inlineStr">
        <is>
          <t>Force transducers + accelerometers + impact hammer + IR thermography + ultrasonic</t>
        </is>
      </c>
      <c r="L86" s="155" t="inlineStr">
        <is>
          <t>Modal analysis (FFT); vibration analysis; damping from impulse response</t>
        </is>
      </c>
      <c r="M86" s="155" t="inlineStr">
        <is>
          <t>None</t>
        </is>
      </c>
      <c r="N86" s="155" t="inlineStr">
        <is>
          <t>None</t>
        </is>
      </c>
      <c r="O86" s="134" t="inlineStr">
        <is>
          <t>M</t>
        </is>
      </c>
      <c r="P86" s="156" t="inlineStr">
        <is>
          <t>Graphene rGO at 2 wt.% achieves 50% damping improvement; reduces vibration and AE; IR thermography confirms steady-state temperature management.</t>
        </is>
      </c>
      <c r="Q86" s="126" t="n"/>
      <c r="R86" s="126" t="n"/>
      <c r="S86" s="126" t="n"/>
      <c r="T86" s="125" t="inlineStr">
        <is>
          <t>✓</t>
        </is>
      </c>
      <c r="U86" s="126" t="n"/>
      <c r="V86" s="125" t="inlineStr">
        <is>
          <t>✓</t>
        </is>
      </c>
      <c r="W86" s="126" t="n"/>
      <c r="X86" s="126" t="n"/>
      <c r="Y86" s="125" t="inlineStr">
        <is>
          <t>✓</t>
        </is>
      </c>
      <c r="Z86" s="127" t="inlineStr">
        <is>
          <t>✓</t>
        </is>
      </c>
      <c r="AA86" s="126" t="n"/>
      <c r="AB86" s="126" t="n"/>
      <c r="AC86" s="127" t="inlineStr">
        <is>
          <t>✓</t>
        </is>
      </c>
      <c r="AD86" s="126" t="n"/>
      <c r="AE86" s="127" t="inlineStr">
        <is>
          <t>✓</t>
        </is>
      </c>
      <c r="AF86" s="126" t="n"/>
      <c r="AG86" s="126" t="n"/>
      <c r="AH86" s="126" t="n"/>
      <c r="AI86" s="126" t="n"/>
      <c r="AJ86" s="126" t="n"/>
    </row>
    <row r="87" ht="64.5" customHeight="1" s="109">
      <c r="A87" s="138" t="n">
        <v>85</v>
      </c>
      <c r="B87" s="139" t="inlineStr">
        <is>
          <t>Perremans et al.</t>
        </is>
      </c>
      <c r="C87" s="138" t="n">
        <v>2024</v>
      </c>
      <c r="D87" s="139" t="inlineStr">
        <is>
          <t>The impact of advanced lubrication strategies on the performance of oil-lubricated multi-bearing systems</t>
        </is>
      </c>
      <c r="E87" s="139" t="inlineStr">
        <is>
          <t>Radial rolling-element bearings (various)</t>
        </is>
      </c>
      <c r="F87" s="139" t="inlineStr">
        <is>
          <t>Oil (circulating; passive/active control strategies)</t>
        </is>
      </c>
      <c r="G87" s="139" t="inlineStr">
        <is>
          <t>Bearing friction; heat generation; oil temperature; film thickness; cooling efficiency</t>
        </is>
      </c>
      <c r="H87" s="139" t="inlineStr">
        <is>
          <t>Thermal Modelling</t>
        </is>
      </c>
      <c r="I87" s="144" t="inlineStr">
        <is>
          <t>Passive</t>
        </is>
      </c>
      <c r="J87" s="122" t="inlineStr">
        <is>
          <t>Semi-Invasive</t>
        </is>
      </c>
      <c r="K87" s="139" t="inlineStr">
        <is>
          <t>MATLAB Simulink thermal model; discretised thermal resistance networks</t>
        </is>
      </c>
      <c r="L87" s="139" t="inlineStr">
        <is>
          <t>Thermal network analysis; MATLAB Simulink simulation</t>
        </is>
      </c>
      <c r="M87" s="139" t="inlineStr">
        <is>
          <t>None</t>
        </is>
      </c>
      <c r="N87" s="139" t="inlineStr">
        <is>
          <t>None</t>
        </is>
      </c>
      <c r="O87" s="123" t="inlineStr">
        <is>
          <t>H</t>
        </is>
      </c>
      <c r="P87" s="140" t="inlineStr">
        <is>
          <t>Framework comparing advanced lubrication strategies demonstrates 14.8% friction loss reduction under dynamic load; quantifies trade-offs between cooling methods.</t>
        </is>
      </c>
      <c r="Q87" s="126" t="n"/>
      <c r="R87" s="126" t="n"/>
      <c r="S87" s="126" t="n"/>
      <c r="T87" s="126" t="n"/>
      <c r="U87" s="126" t="n"/>
      <c r="V87" s="125" t="inlineStr">
        <is>
          <t>✓</t>
        </is>
      </c>
      <c r="W87" s="126" t="n"/>
      <c r="X87" s="126" t="n"/>
      <c r="Y87" s="126" t="n"/>
      <c r="Z87" s="126" t="n"/>
      <c r="AA87" s="126" t="n"/>
      <c r="AB87" s="126" t="n"/>
      <c r="AC87" s="127" t="inlineStr">
        <is>
          <t>✓</t>
        </is>
      </c>
      <c r="AD87" s="126" t="n"/>
      <c r="AE87" s="127" t="inlineStr">
        <is>
          <t>✓</t>
        </is>
      </c>
      <c r="AF87" s="126" t="n"/>
      <c r="AG87" s="126" t="n"/>
      <c r="AH87" s="126" t="n"/>
      <c r="AI87" s="126" t="n"/>
      <c r="AJ87" s="126" t="n"/>
    </row>
    <row r="88" ht="64.5" customHeight="1" s="109">
      <c r="A88" s="138" t="n">
        <v>86</v>
      </c>
      <c r="B88" s="139" t="inlineStr">
        <is>
          <t>Tong et al.</t>
        </is>
      </c>
      <c r="C88" s="138" t="n">
        <v>2014</v>
      </c>
      <c r="D88" s="139" t="inlineStr">
        <is>
          <t>Investigation of the Fluid-Solid Thermal Coupling for Rolling Bearing under Oil-Air Lubrication</t>
        </is>
      </c>
      <c r="E88" s="139" t="inlineStr">
        <is>
          <t>Cylindrical roller bearing</t>
        </is>
      </c>
      <c r="F88" s="139" t="inlineStr">
        <is>
          <t>Oil-air (compressed air + oil mist)</t>
        </is>
      </c>
      <c r="G88" s="139" t="inlineStr">
        <is>
          <t>Friction torque; heat generation; fluid-solid thermal coupling; temperature distribution</t>
        </is>
      </c>
      <c r="H88" s="139" t="inlineStr">
        <is>
          <t>CFD Simulation</t>
        </is>
      </c>
      <c r="I88" s="130" t="inlineStr">
        <is>
          <t>N/A</t>
        </is>
      </c>
      <c r="J88" s="130" t="inlineStr">
        <is>
          <t>N/A</t>
        </is>
      </c>
      <c r="K88" s="139" t="inlineStr">
        <is>
          <t>CFD numerical simulation (FLUENT); finite volume method</t>
        </is>
      </c>
      <c r="L88" s="139" t="inlineStr">
        <is>
          <t>CFD SIMPLE algorithm; k-ε turbulence model; pressure-velocity coupling</t>
        </is>
      </c>
      <c r="M88" s="139" t="inlineStr">
        <is>
          <t>None</t>
        </is>
      </c>
      <c r="N88" s="139" t="inlineStr">
        <is>
          <t>None</t>
        </is>
      </c>
      <c r="O88" s="123" t="inlineStr">
        <is>
          <t>H</t>
        </is>
      </c>
      <c r="P88" s="140" t="inlineStr">
        <is>
          <t>Fluid-solid thermal coupling model for oil-air lubricated bearings; thermal coupling effects on turbulence intensity but minimal impact on pressure/velocity distribution.</t>
        </is>
      </c>
      <c r="Q88" s="126" t="n"/>
      <c r="R88" s="126" t="n"/>
      <c r="S88" s="126" t="n"/>
      <c r="T88" s="126" t="n"/>
      <c r="U88" s="126" t="n"/>
      <c r="V88" s="125" t="inlineStr">
        <is>
          <t>✓</t>
        </is>
      </c>
      <c r="W88" s="126" t="n"/>
      <c r="X88" s="126" t="n"/>
      <c r="Y88" s="126" t="n"/>
      <c r="Z88" s="126" t="n"/>
      <c r="AA88" s="126" t="n"/>
      <c r="AB88" s="126" t="n"/>
      <c r="AC88" s="126" t="n"/>
      <c r="AD88" s="126" t="n"/>
      <c r="AE88" s="127" t="inlineStr">
        <is>
          <t>✓</t>
        </is>
      </c>
      <c r="AF88" s="126" t="n"/>
      <c r="AG88" s="126" t="n"/>
      <c r="AH88" s="126" t="n"/>
      <c r="AI88" s="126" t="n"/>
      <c r="AJ88" s="126" t="n"/>
    </row>
    <row r="89" ht="64.5" customHeight="1" s="109">
      <c r="A89" s="150" t="n">
        <v>87</v>
      </c>
      <c r="B89" s="151" t="inlineStr">
        <is>
          <t>Wakiru et al.</t>
        </is>
      </c>
      <c r="C89" s="150" t="n">
        <v>2019</v>
      </c>
      <c r="D89" s="151" t="inlineStr">
        <is>
          <t>A review on lubricant condition monitoring information analysis for maintenance decision support</t>
        </is>
      </c>
      <c r="E89" s="151" t="inlineStr">
        <is>
          <t>Rolling element bearings (review)</t>
        </is>
      </c>
      <c r="F89" s="151" t="inlineStr">
        <is>
          <t>Oil (mineral/synthetic)</t>
        </is>
      </c>
      <c r="G89" s="151" t="inlineStr">
        <is>
          <t>Oil condition (viscosity, degradation, contamination, wear)</t>
        </is>
      </c>
      <c r="H89" s="151" t="inlineStr">
        <is>
          <t>Oil/Debris Analysis (Multi-type)</t>
        </is>
      </c>
      <c r="I89" s="130" t="inlineStr">
        <is>
          <t>N/A</t>
        </is>
      </c>
      <c r="J89" s="130" t="inlineStr">
        <is>
          <t>N/A</t>
        </is>
      </c>
      <c r="K89" s="151" t="inlineStr">
        <is>
          <t>Lubricant sampling (on/off-line); optical; acoustic; inductive; capacitive (review)</t>
        </is>
      </c>
      <c r="L89" s="151" t="inlineStr">
        <is>
          <t>Statistical; spectral; time-domain; FFT; wavelet (review)</t>
        </is>
      </c>
      <c r="M89" s="151" t="inlineStr">
        <is>
          <t>Statistical, ML, knowledge-based, hybrid (review)</t>
        </is>
      </c>
      <c r="N89" s="151" t="inlineStr">
        <is>
          <t>Classical ML</t>
        </is>
      </c>
      <c r="O89" s="123" t="inlineStr">
        <is>
          <t>H</t>
        </is>
      </c>
      <c r="P89" s="152" t="inlineStr">
        <is>
          <t>Review classifying LCM techniques under statistical, model-based, AI, and hybrid approaches; addresses gap between LCM literature and maintenance decision-making.</t>
        </is>
      </c>
      <c r="Q89" s="126" t="n"/>
      <c r="R89" s="126" t="n"/>
      <c r="S89" s="126" t="n"/>
      <c r="T89" s="126" t="n"/>
      <c r="U89" s="125" t="inlineStr">
        <is>
          <t>✓</t>
        </is>
      </c>
      <c r="V89" s="126" t="n"/>
      <c r="W89" s="126" t="n"/>
      <c r="X89" s="125" t="inlineStr">
        <is>
          <t>✓</t>
        </is>
      </c>
      <c r="Y89" s="126" t="n"/>
      <c r="Z89" s="127" t="inlineStr">
        <is>
          <t>✓</t>
        </is>
      </c>
      <c r="AA89" s="127" t="inlineStr">
        <is>
          <t>✓</t>
        </is>
      </c>
      <c r="AB89" s="126" t="n"/>
      <c r="AC89" s="127" t="inlineStr">
        <is>
          <t>✓</t>
        </is>
      </c>
      <c r="AD89" s="126" t="n"/>
      <c r="AE89" s="126" t="n"/>
      <c r="AF89" s="129" t="inlineStr">
        <is>
          <t>✓</t>
        </is>
      </c>
      <c r="AG89" s="126" t="n"/>
      <c r="AH89" s="126" t="n"/>
      <c r="AI89" s="126" t="n"/>
      <c r="AJ89" s="126" t="n"/>
    </row>
    <row r="90" ht="64.5" customHeight="1" s="109">
      <c r="A90" s="154" t="n">
        <v>88</v>
      </c>
      <c r="B90" s="155" t="inlineStr">
        <is>
          <t>Rai &amp; Upadhyay</t>
        </is>
      </c>
      <c r="C90" s="154" t="n">
        <v>2016</v>
      </c>
      <c r="D90" s="155" t="inlineStr">
        <is>
          <t>A review on signal processing techniques utilized in the fault diagnosis of rolling element bearings</t>
        </is>
      </c>
      <c r="E90" s="155" t="inlineStr">
        <is>
          <t>Rolling element bearings (review)</t>
        </is>
      </c>
      <c r="F90" s="155" t="inlineStr">
        <is>
          <t>Not specified</t>
        </is>
      </c>
      <c r="G90" s="155" t="inlineStr">
        <is>
          <t>Vibration; AE; bearing characteristic frequencies (BCF)</t>
        </is>
      </c>
      <c r="H90" s="155" t="inlineStr">
        <is>
          <t>Multi-sensor (review)</t>
        </is>
      </c>
      <c r="I90" s="153" t="inlineStr">
        <is>
          <t>Active + Passive</t>
        </is>
      </c>
      <c r="J90" s="130" t="inlineStr">
        <is>
          <t>Varies</t>
        </is>
      </c>
      <c r="K90" s="155" t="inlineStr">
        <is>
          <t>Accelerometers; AE sensors; current signature (review)</t>
        </is>
      </c>
      <c r="L90" s="155" t="inlineStr">
        <is>
          <t>FFT; STFT; wavelet; HHT; EMD; AR models (review)</t>
        </is>
      </c>
      <c r="M90" s="155" t="inlineStr">
        <is>
          <t>ANN; SVM; HMM; ensemble (review)</t>
        </is>
      </c>
      <c r="N90" s="155" t="inlineStr">
        <is>
          <t>Classical ML</t>
        </is>
      </c>
      <c r="O90" s="149" t="inlineStr">
        <is>
          <t>L</t>
        </is>
      </c>
      <c r="P90" s="156" t="inlineStr">
        <is>
          <t>Historical review of signal processing techniques for bearing fault diagnosis across three stages (pre-2001, 2001–2010, post-2011); highlights AI integration progression.</t>
        </is>
      </c>
      <c r="Q90" s="126" t="n"/>
      <c r="R90" s="126" t="n"/>
      <c r="S90" s="126" t="n"/>
      <c r="T90" s="125" t="inlineStr">
        <is>
          <t>✓</t>
        </is>
      </c>
      <c r="U90" s="126" t="n"/>
      <c r="V90" s="126" t="n"/>
      <c r="W90" s="126" t="n"/>
      <c r="X90" s="126" t="n"/>
      <c r="Y90" s="126" t="n"/>
      <c r="Z90" s="127" t="inlineStr">
        <is>
          <t>✓</t>
        </is>
      </c>
      <c r="AA90" s="127" t="inlineStr">
        <is>
          <t>✓</t>
        </is>
      </c>
      <c r="AB90" s="127" t="inlineStr">
        <is>
          <t>✓</t>
        </is>
      </c>
      <c r="AC90" s="127" t="inlineStr">
        <is>
          <t>✓</t>
        </is>
      </c>
      <c r="AD90" s="127" t="inlineStr">
        <is>
          <t>✓</t>
        </is>
      </c>
      <c r="AE90" s="126" t="n"/>
      <c r="AF90" s="129" t="inlineStr">
        <is>
          <t>✓</t>
        </is>
      </c>
      <c r="AG90" s="126" t="n"/>
      <c r="AH90" s="126" t="n"/>
      <c r="AI90" s="126" t="n"/>
      <c r="AJ90" s="126" t="n"/>
    </row>
    <row r="91" ht="64.5" customHeight="1" s="109">
      <c r="A91" s="154" t="n">
        <v>89</v>
      </c>
      <c r="B91" s="155" t="inlineStr">
        <is>
          <t>Jaros et al.</t>
        </is>
      </c>
      <c r="C91" s="154" t="n">
        <v>2022</v>
      </c>
      <c r="D91" s="155" t="inlineStr">
        <is>
          <t>Advanced techniques for bearing condition monitoring</t>
        </is>
      </c>
      <c r="E91" s="155" t="inlineStr">
        <is>
          <t>Ball/induction motor bearings (review)</t>
        </is>
      </c>
      <c r="F91" s="155" t="inlineStr">
        <is>
          <t>Not specified</t>
        </is>
      </c>
      <c r="G91" s="155" t="inlineStr">
        <is>
          <t>Vibration; AE; temperature; electromagnetic field</t>
        </is>
      </c>
      <c r="H91" s="155" t="inlineStr">
        <is>
          <t>Multi-sensor (review)</t>
        </is>
      </c>
      <c r="I91" s="144" t="inlineStr">
        <is>
          <t>Passive</t>
        </is>
      </c>
      <c r="J91" s="130" t="inlineStr">
        <is>
          <t>Varies</t>
        </is>
      </c>
      <c r="K91" s="155" t="inlineStr">
        <is>
          <t>Stator current; vibration; IR; EM field sensors (review)</t>
        </is>
      </c>
      <c r="L91" s="155" t="inlineStr">
        <is>
          <t>EMD; wavelet; PCA; STFT; Park's vector approach (review)</t>
        </is>
      </c>
      <c r="M91" s="155" t="inlineStr">
        <is>
          <t>ANN; knowledge-based; fuzzy logic (review)</t>
        </is>
      </c>
      <c r="N91" s="155" t="inlineStr">
        <is>
          <t>Classical ML</t>
        </is>
      </c>
      <c r="O91" s="149" t="inlineStr">
        <is>
          <t>L</t>
        </is>
      </c>
      <c r="P91" s="156" t="inlineStr">
        <is>
          <t>Overview of advanced signal processing (WT, EMD, PCA, PVA) for induction motor condition monitoring; emphasises computational efficiency for online implementation.</t>
        </is>
      </c>
      <c r="Q91" s="126" t="n"/>
      <c r="R91" s="126" t="n"/>
      <c r="S91" s="126" t="n"/>
      <c r="T91" s="125" t="inlineStr">
        <is>
          <t>✓</t>
        </is>
      </c>
      <c r="U91" s="126" t="n"/>
      <c r="V91" s="126" t="n"/>
      <c r="W91" s="126" t="n"/>
      <c r="X91" s="126" t="n"/>
      <c r="Y91" s="126" t="n"/>
      <c r="Z91" s="127" t="inlineStr">
        <is>
          <t>✓</t>
        </is>
      </c>
      <c r="AA91" s="127" t="inlineStr">
        <is>
          <t>✓</t>
        </is>
      </c>
      <c r="AB91" s="126" t="n"/>
      <c r="AC91" s="127" t="inlineStr">
        <is>
          <t>✓</t>
        </is>
      </c>
      <c r="AD91" s="127" t="inlineStr">
        <is>
          <t>✓</t>
        </is>
      </c>
      <c r="AE91" s="126" t="n"/>
      <c r="AF91" s="129" t="inlineStr">
        <is>
          <t>✓</t>
        </is>
      </c>
      <c r="AG91" s="126" t="n"/>
      <c r="AH91" s="126" t="n"/>
      <c r="AI91" s="126" t="n"/>
      <c r="AJ91" s="126" t="n"/>
    </row>
    <row r="92" ht="64.5" customHeight="1" s="109">
      <c r="A92" s="154" t="n">
        <v>90</v>
      </c>
      <c r="B92" s="155" t="inlineStr">
        <is>
          <t>Sun B. et al.</t>
        </is>
      </c>
      <c r="C92" s="154" t="n">
        <v>2025</v>
      </c>
      <c r="D92" s="155" t="inlineStr">
        <is>
          <t>State-of-the-Art Detection and Diagnosis Methods for Rolling Bearing Defects: A Comprehensive Review</t>
        </is>
      </c>
      <c r="E92" s="155" t="inlineStr">
        <is>
          <t>DGBB, cylindrical roller bearings (review)</t>
        </is>
      </c>
      <c r="F92" s="155" t="inlineStr">
        <is>
          <t>Not specified</t>
        </is>
      </c>
      <c r="G92" s="155" t="inlineStr">
        <is>
          <t>Vibration; temperature; AE; wear debris; lubricant failure; fatigue spalling</t>
        </is>
      </c>
      <c r="H92" s="155" t="inlineStr">
        <is>
          <t>Multi-sensor (review)</t>
        </is>
      </c>
      <c r="I92" s="144" t="inlineStr">
        <is>
          <t>Passive</t>
        </is>
      </c>
      <c r="J92" s="130" t="inlineStr">
        <is>
          <t>Varies</t>
        </is>
      </c>
      <c r="K92" s="155" t="inlineStr">
        <is>
          <t>Accelerometers; IR cameras; AE; oil analysis; ultrasonic (review)</t>
        </is>
      </c>
      <c r="L92" s="155" t="inlineStr">
        <is>
          <t>FFT; STFT; wavelet; envelope; time-frequency (review)</t>
        </is>
      </c>
      <c r="M92" s="155" t="inlineStr">
        <is>
          <t>ANN; CNN; DL; SVM; EMD; PCA; ensemble (review)</t>
        </is>
      </c>
      <c r="N92" s="155" t="inlineStr">
        <is>
          <t>Hybrid DL</t>
        </is>
      </c>
      <c r="O92" s="149" t="inlineStr">
        <is>
          <t>L</t>
        </is>
      </c>
      <c r="P92" s="156" t="inlineStr">
        <is>
          <t>Comprehensive multimodal review of bearing defect detection; covers failure modes including lubricant failure, brinelling, fatigue, and corrosion.</t>
        </is>
      </c>
      <c r="Q92" s="126" t="n"/>
      <c r="R92" s="126" t="n"/>
      <c r="S92" s="126" t="n"/>
      <c r="T92" s="125" t="inlineStr">
        <is>
          <t>✓</t>
        </is>
      </c>
      <c r="U92" s="126" t="n"/>
      <c r="V92" s="126" t="n"/>
      <c r="W92" s="126" t="n"/>
      <c r="X92" s="126" t="n"/>
      <c r="Y92" s="126" t="n"/>
      <c r="Z92" s="127" t="inlineStr">
        <is>
          <t>✓</t>
        </is>
      </c>
      <c r="AA92" s="127" t="inlineStr">
        <is>
          <t>✓</t>
        </is>
      </c>
      <c r="AB92" s="127" t="inlineStr">
        <is>
          <t>✓</t>
        </is>
      </c>
      <c r="AC92" s="127" t="inlineStr">
        <is>
          <t>✓</t>
        </is>
      </c>
      <c r="AD92" s="127" t="inlineStr">
        <is>
          <t>✓</t>
        </is>
      </c>
      <c r="AE92" s="126" t="n"/>
      <c r="AF92" s="129" t="inlineStr">
        <is>
          <t>✓</t>
        </is>
      </c>
      <c r="AG92" s="129" t="inlineStr">
        <is>
          <t>✓</t>
        </is>
      </c>
      <c r="AH92" s="126" t="n"/>
      <c r="AI92" s="126" t="n"/>
      <c r="AJ92" s="126" t="n"/>
    </row>
    <row r="93" ht="64.5" customHeight="1" s="109">
      <c r="A93" s="154" t="n">
        <v>91</v>
      </c>
      <c r="B93" s="155" t="inlineStr">
        <is>
          <t>Kannan et al.</t>
        </is>
      </c>
      <c r="C93" s="154" t="n">
        <v>2024</v>
      </c>
      <c r="D93" s="155" t="inlineStr">
        <is>
          <t>A Review of the Intelligent Condition Monitoring of Rolling Element Bearings</t>
        </is>
      </c>
      <c r="E93" s="155" t="inlineStr">
        <is>
          <t>Rolling element bearings (review)</t>
        </is>
      </c>
      <c r="F93" s="155" t="inlineStr">
        <is>
          <t>Oil/grease</t>
        </is>
      </c>
      <c r="G93" s="155" t="inlineStr">
        <is>
          <t>Vibration; AE; temperature; wear debris; lubrication degradation</t>
        </is>
      </c>
      <c r="H93" s="155" t="inlineStr">
        <is>
          <t>Multi-sensor (review)</t>
        </is>
      </c>
      <c r="I93" s="144" t="inlineStr">
        <is>
          <t>Passive</t>
        </is>
      </c>
      <c r="J93" s="130" t="inlineStr">
        <is>
          <t>Varies</t>
        </is>
      </c>
      <c r="K93" s="155" t="inlineStr">
        <is>
          <t>Accelerometers; AE; IR; thermocouples; oil sensors; ultrasonic; microphones (review)</t>
        </is>
      </c>
      <c r="L93" s="155" t="inlineStr">
        <is>
          <t>Time/freq/TF domain; wavelet; envelope; feature extraction (review)</t>
        </is>
      </c>
      <c r="M93" s="155" t="inlineStr">
        <is>
          <t>ML; DL; transfer learning; RL; metaheuristic optimisation (review)</t>
        </is>
      </c>
      <c r="N93" s="155" t="inlineStr">
        <is>
          <t>Hybrid DL</t>
        </is>
      </c>
      <c r="O93" s="134" t="inlineStr">
        <is>
          <t>M</t>
        </is>
      </c>
      <c r="P93" s="156" t="inlineStr">
        <is>
          <t>Review emphasising information fusion methodologies and intelligent algorithms; highlights multi-modal sensing for enhanced bearing lubrication monitoring accuracy.</t>
        </is>
      </c>
      <c r="Q93" s="126" t="n"/>
      <c r="R93" s="126" t="n"/>
      <c r="S93" s="126" t="n"/>
      <c r="T93" s="125" t="inlineStr">
        <is>
          <t>✓</t>
        </is>
      </c>
      <c r="U93" s="126" t="n"/>
      <c r="V93" s="126" t="n"/>
      <c r="W93" s="126" t="n"/>
      <c r="X93" s="126" t="n"/>
      <c r="Y93" s="126" t="n"/>
      <c r="Z93" s="127" t="inlineStr">
        <is>
          <t>✓</t>
        </is>
      </c>
      <c r="AA93" s="127" t="inlineStr">
        <is>
          <t>✓</t>
        </is>
      </c>
      <c r="AB93" s="127" t="inlineStr">
        <is>
          <t>✓</t>
        </is>
      </c>
      <c r="AC93" s="127" t="inlineStr">
        <is>
          <t>✓</t>
        </is>
      </c>
      <c r="AD93" s="127" t="inlineStr">
        <is>
          <t>✓</t>
        </is>
      </c>
      <c r="AE93" s="126" t="n"/>
      <c r="AF93" s="129" t="inlineStr">
        <is>
          <t>✓</t>
        </is>
      </c>
      <c r="AG93" s="129" t="inlineStr">
        <is>
          <t>✓</t>
        </is>
      </c>
      <c r="AH93" s="129" t="inlineStr">
        <is>
          <t>✓</t>
        </is>
      </c>
      <c r="AI93" s="126" t="n"/>
      <c r="AJ93" s="126" t="n"/>
    </row>
    <row r="94" ht="64.5" customHeight="1" s="109">
      <c r="A94" s="154" t="n">
        <v>92</v>
      </c>
      <c r="B94" s="155" t="inlineStr">
        <is>
          <t>Pandiyan &amp; Narendranath Babu</t>
        </is>
      </c>
      <c r="C94" s="154" t="n">
        <v>2024</v>
      </c>
      <c r="D94" s="155" t="inlineStr">
        <is>
          <t>Systematic Review on Fault Diagnosis on Rolling-Element Bearing</t>
        </is>
      </c>
      <c r="E94" s="155" t="inlineStr">
        <is>
          <t>Rolling element bearings (review)</t>
        </is>
      </c>
      <c r="F94" s="155" t="inlineStr">
        <is>
          <t>Not specified</t>
        </is>
      </c>
      <c r="G94" s="155" t="inlineStr">
        <is>
          <t>Vibration; temperature; AE; all defect types including lubricant failure</t>
        </is>
      </c>
      <c r="H94" s="155" t="inlineStr">
        <is>
          <t>Multi-sensor (review)</t>
        </is>
      </c>
      <c r="I94" s="153" t="inlineStr">
        <is>
          <t>Active + Passive</t>
        </is>
      </c>
      <c r="J94" s="130" t="inlineStr">
        <is>
          <t>Varies</t>
        </is>
      </c>
      <c r="K94" s="155" t="inlineStr">
        <is>
          <t>Accelerometers; thermocouples; AE; IR (review)</t>
        </is>
      </c>
      <c r="L94" s="155" t="inlineStr">
        <is>
          <t>EMD (EEMD, CEEMD); wavelet; Fourier; envelope; spectral analysis (review)</t>
        </is>
      </c>
      <c r="M94" s="155" t="inlineStr">
        <is>
          <t>CNN; DNN; LSTM; transfer learning; multi-task CNN (review)</t>
        </is>
      </c>
      <c r="N94" s="155" t="inlineStr">
        <is>
          <t>Hybrid DL</t>
        </is>
      </c>
      <c r="O94" s="149" t="inlineStr">
        <is>
          <t>L</t>
        </is>
      </c>
      <c r="P94" s="156" t="inlineStr">
        <is>
          <t>Systematic analysis across signal processing, EMD-based techniques, and performance measures; identifies lubrication failure as major bearing failure mode requiring monitoring.</t>
        </is>
      </c>
      <c r="Q94" s="126" t="n"/>
      <c r="R94" s="126" t="n"/>
      <c r="S94" s="126" t="n"/>
      <c r="T94" s="125" t="inlineStr">
        <is>
          <t>✓</t>
        </is>
      </c>
      <c r="U94" s="126" t="n"/>
      <c r="V94" s="126" t="n"/>
      <c r="W94" s="126" t="n"/>
      <c r="X94" s="126" t="n"/>
      <c r="Y94" s="126" t="n"/>
      <c r="Z94" s="127" t="inlineStr">
        <is>
          <t>✓</t>
        </is>
      </c>
      <c r="AA94" s="127" t="inlineStr">
        <is>
          <t>✓</t>
        </is>
      </c>
      <c r="AB94" s="127" t="inlineStr">
        <is>
          <t>✓</t>
        </is>
      </c>
      <c r="AC94" s="127" t="inlineStr">
        <is>
          <t>✓</t>
        </is>
      </c>
      <c r="AD94" s="127" t="inlineStr">
        <is>
          <t>✓</t>
        </is>
      </c>
      <c r="AE94" s="126" t="n"/>
      <c r="AF94" s="129" t="inlineStr">
        <is>
          <t>✓</t>
        </is>
      </c>
      <c r="AG94" s="129" t="inlineStr">
        <is>
          <t>✓</t>
        </is>
      </c>
      <c r="AH94" s="129" t="inlineStr">
        <is>
          <t>✓</t>
        </is>
      </c>
      <c r="AI94" s="126" t="n"/>
      <c r="AJ94" s="126" t="n"/>
    </row>
    <row r="95" ht="64.5" customHeight="1" s="109">
      <c r="A95" s="154" t="n">
        <v>93</v>
      </c>
      <c r="B95" s="155" t="inlineStr">
        <is>
          <t>Kestel et al.</t>
        </is>
      </c>
      <c r="C95" s="154" t="n">
        <v>2025</v>
      </c>
      <c r="D95" s="155" t="inlineStr">
        <is>
          <t>Condition monitoring of wind turbine drivetrains: State-of-the-art technologies, recent trends, and future outlook</t>
        </is>
      </c>
      <c r="E95" s="155" t="inlineStr">
        <is>
          <t>WT drivetrain bearings (all types, review)</t>
        </is>
      </c>
      <c r="F95" s="155" t="inlineStr">
        <is>
          <t>Not specified</t>
        </is>
      </c>
      <c r="G95" s="155" t="inlineStr">
        <is>
          <t>Bearing wear; thermal cycling; insulation degradation; transient loads; misalignment</t>
        </is>
      </c>
      <c r="H95" s="155" t="inlineStr">
        <is>
          <t>Multi-sensor (review)</t>
        </is>
      </c>
      <c r="I95" s="144" t="inlineStr">
        <is>
          <t>Passive</t>
        </is>
      </c>
      <c r="J95" s="130" t="inlineStr">
        <is>
          <t>Varies</t>
        </is>
      </c>
      <c r="K95" s="155" t="inlineStr">
        <is>
          <t>Accelerometers; SCADA; oil debris; temperature; electric signature (review)</t>
        </is>
      </c>
      <c r="L95" s="155" t="inlineStr">
        <is>
          <t>Vibration/acoustic signal processing; SCADA data; digital twin frameworks</t>
        </is>
      </c>
      <c r="M95" s="155" t="inlineStr">
        <is>
          <t>ML; signal processing; hybrid modelling (review)</t>
        </is>
      </c>
      <c r="N95" s="155" t="inlineStr">
        <is>
          <t>Classical ML</t>
        </is>
      </c>
      <c r="O95" s="134" t="inlineStr">
        <is>
          <t>M</t>
        </is>
      </c>
      <c r="P95" s="156" t="inlineStr">
        <is>
          <t>State-of-the-art review of WT drivetrain CM; identifies challenges in standardisation, data availability, and academic-industrial adoption gap.</t>
        </is>
      </c>
      <c r="Q95" s="126" t="n"/>
      <c r="R95" s="126" t="n"/>
      <c r="S95" s="126" t="n"/>
      <c r="T95" s="125" t="inlineStr">
        <is>
          <t>✓</t>
        </is>
      </c>
      <c r="U95" s="126" t="n"/>
      <c r="V95" s="125" t="inlineStr">
        <is>
          <t>✓</t>
        </is>
      </c>
      <c r="W95" s="126" t="n"/>
      <c r="X95" s="125" t="inlineStr">
        <is>
          <t>✓</t>
        </is>
      </c>
      <c r="Y95" s="126" t="n"/>
      <c r="Z95" s="127" t="inlineStr">
        <is>
          <t>✓</t>
        </is>
      </c>
      <c r="AA95" s="127" t="inlineStr">
        <is>
          <t>✓</t>
        </is>
      </c>
      <c r="AB95" s="126" t="n"/>
      <c r="AC95" s="127" t="inlineStr">
        <is>
          <t>✓</t>
        </is>
      </c>
      <c r="AD95" s="126" t="n"/>
      <c r="AE95" s="126" t="n"/>
      <c r="AF95" s="129" t="inlineStr">
        <is>
          <t>✓</t>
        </is>
      </c>
      <c r="AG95" s="126" t="n"/>
      <c r="AH95" s="126" t="n"/>
      <c r="AI95" s="126" t="n"/>
      <c r="AJ95" s="126" t="n"/>
    </row>
    <row r="96" ht="64.5" customHeight="1" s="109">
      <c r="A96" s="131" t="n">
        <v>94</v>
      </c>
      <c r="B96" s="132" t="inlineStr">
        <is>
          <t>Peng H. et al.</t>
        </is>
      </c>
      <c r="C96" s="131" t="n">
        <v>2022</v>
      </c>
      <c r="D96" s="132" t="inlineStr">
        <is>
          <t>Review of Tribological Failure Analysis and Lubrication Technology Research of Wind Power Bearings</t>
        </is>
      </c>
      <c r="E96" s="132" t="inlineStr">
        <is>
          <t>Wind turbine bearings (all types, review)</t>
        </is>
      </c>
      <c r="F96" s="132" t="inlineStr">
        <is>
          <t>Li-complex grease; synthetic grease; mineral oil</t>
        </is>
      </c>
      <c r="G96" s="132" t="inlineStr">
        <is>
          <t>Friction; micro-etching; white etching cracks (WECs); micro-motion corrosion; abrasion</t>
        </is>
      </c>
      <c r="H96" s="132" t="inlineStr">
        <is>
          <t>Not specified (review)</t>
        </is>
      </c>
      <c r="I96" s="153" t="inlineStr">
        <is>
          <t>Active + Passive</t>
        </is>
      </c>
      <c r="J96" s="130" t="inlineStr">
        <is>
          <t>Varies</t>
        </is>
      </c>
      <c r="K96" s="132" t="inlineStr">
        <is>
          <t>Not specified in review</t>
        </is>
      </c>
      <c r="L96" s="132" t="inlineStr">
        <is>
          <t>Failure Trend Analysis (FTA)</t>
        </is>
      </c>
      <c r="M96" s="132" t="inlineStr">
        <is>
          <t>None (review)</t>
        </is>
      </c>
      <c r="N96" s="132" t="inlineStr">
        <is>
          <t>None</t>
        </is>
      </c>
      <c r="O96" s="123" t="inlineStr">
        <is>
          <t>H</t>
        </is>
      </c>
      <c r="P96" s="133" t="inlineStr">
        <is>
          <t>Comprehensive review of wind turbine bearing tribological failures and lubrication technologies; identifies research gaps in bearing life prediction for large-scale turbines.</t>
        </is>
      </c>
      <c r="Q96" s="126" t="n"/>
      <c r="R96" s="126" t="n"/>
      <c r="S96" s="126" t="n"/>
      <c r="T96" s="126" t="n"/>
      <c r="U96" s="126" t="n"/>
      <c r="V96" s="126" t="n"/>
      <c r="W96" s="126" t="n"/>
      <c r="X96" s="126" t="n"/>
      <c r="Y96" s="126" t="n"/>
      <c r="Z96" s="126" t="n"/>
      <c r="AA96" s="126" t="n"/>
      <c r="AB96" s="126" t="n"/>
      <c r="AC96" s="126" t="n"/>
      <c r="AD96" s="126" t="n"/>
      <c r="AE96" s="127" t="inlineStr">
        <is>
          <t>✓</t>
        </is>
      </c>
      <c r="AF96" s="126" t="n"/>
      <c r="AG96" s="126" t="n"/>
      <c r="AH96" s="126" t="n"/>
      <c r="AI96" s="126" t="n"/>
      <c r="AJ96" s="126" t="n"/>
    </row>
    <row r="97" ht="64.5" customHeight="1" s="109">
      <c r="A97" s="157" t="n">
        <v>95</v>
      </c>
      <c r="B97" s="158" t="inlineStr">
        <is>
          <t>Hurtado &amp; Long</t>
        </is>
      </c>
      <c r="C97" s="157" t="n">
        <v>2024</v>
      </c>
      <c r="D97" s="158" t="inlineStr">
        <is>
          <t>Fretting wear in raceway-ball contact under wind turbine pitch bearing operating conditions</t>
        </is>
      </c>
      <c r="E97" s="158" t="inlineStr">
        <is>
          <t>Wind turbine pitch bearing (ball, 8-point contact)</t>
        </is>
      </c>
      <c r="F97" s="158" t="inlineStr">
        <is>
          <t>Li-complex grease and unlubricated contacts</t>
        </is>
      </c>
      <c r="G97" s="158" t="inlineStr">
        <is>
          <t>Fretting wear; contact pressure; sliding damage under small oscillations; wear depth</t>
        </is>
      </c>
      <c r="H97" s="158" t="inlineStr">
        <is>
          <t>Optical Profilometry</t>
        </is>
      </c>
      <c r="I97" s="130" t="inlineStr">
        <is>
          <t>N/A</t>
        </is>
      </c>
      <c r="J97" s="130" t="inlineStr">
        <is>
          <t>N/A</t>
        </is>
      </c>
      <c r="K97" s="158" t="inlineStr">
        <is>
          <t>Optical profiler (Alicona InfiniteFocus-SL 3D); bi-axial machine</t>
        </is>
      </c>
      <c r="L97" s="158" t="inlineStr">
        <is>
          <t>FEA for contact pressure; energy approach for wear volume; friction energy dissipation</t>
        </is>
      </c>
      <c r="M97" s="158" t="inlineStr">
        <is>
          <t>None</t>
        </is>
      </c>
      <c r="N97" s="158" t="inlineStr">
        <is>
          <t>None</t>
        </is>
      </c>
      <c r="O97" s="123" t="inlineStr">
        <is>
          <t>H</t>
        </is>
      </c>
      <c r="P97" s="159" t="inlineStr">
        <is>
          <t>Medium-scale fretting test rig replicates pitch bearing conditions; validates FEA model for fretting wear under small-amplitude oscillations (0.5–8 mm).</t>
        </is>
      </c>
      <c r="Q97" s="126" t="n"/>
      <c r="R97" s="126" t="n"/>
      <c r="S97" s="126" t="n"/>
      <c r="T97" s="126" t="n"/>
      <c r="U97" s="125" t="inlineStr">
        <is>
          <t>✓</t>
        </is>
      </c>
      <c r="V97" s="126" t="n"/>
      <c r="W97" s="126" t="n"/>
      <c r="X97" s="126" t="n"/>
      <c r="Y97" s="126" t="n"/>
      <c r="Z97" s="126" t="n"/>
      <c r="AA97" s="126" t="n"/>
      <c r="AB97" s="126" t="n"/>
      <c r="AC97" s="127" t="inlineStr">
        <is>
          <t>✓</t>
        </is>
      </c>
      <c r="AD97" s="126" t="n"/>
      <c r="AE97" s="127" t="inlineStr">
        <is>
          <t>✓</t>
        </is>
      </c>
      <c r="AF97" s="126" t="n"/>
      <c r="AG97" s="126" t="n"/>
      <c r="AH97" s="126" t="n"/>
      <c r="AI97" s="126" t="n"/>
      <c r="AJ97" s="126" t="n"/>
    </row>
    <row r="98" ht="64.5" customHeight="1" s="109">
      <c r="A98" s="145" t="n">
        <v>96</v>
      </c>
      <c r="B98" s="146" t="inlineStr">
        <is>
          <t>Liu J. et al.</t>
        </is>
      </c>
      <c r="C98" s="145" t="n">
        <v>2018</v>
      </c>
      <c r="D98" s="146" t="inlineStr">
        <is>
          <t>A theoretical study on vibrations of a ball bearing caused by a dent on the races</t>
        </is>
      </c>
      <c r="E98" s="146" t="inlineStr">
        <is>
          <t>DGBB (localised defect)</t>
        </is>
      </c>
      <c r="F98" s="146" t="inlineStr">
        <is>
          <t>Not specified</t>
        </is>
      </c>
      <c r="G98" s="146" t="inlineStr">
        <is>
          <t>Vibrations from dent-shoulder interaction; impulsive excitations; time-varying contact forces</t>
        </is>
      </c>
      <c r="H98" s="146" t="inlineStr">
        <is>
          <t>Vibration (modelling)</t>
        </is>
      </c>
      <c r="I98" s="121" t="inlineStr">
        <is>
          <t>Active</t>
        </is>
      </c>
      <c r="J98" s="122" t="inlineStr">
        <is>
          <t>Semi-Invasive</t>
        </is>
      </c>
      <c r="K98" s="146" t="inlineStr">
        <is>
          <t>Accelerometer (simulation/validation)</t>
        </is>
      </c>
      <c r="L98" s="146" t="inlineStr">
        <is>
          <t>Time/frequency domain; Hertzian contact; STEP function damping</t>
        </is>
      </c>
      <c r="M98" s="146" t="inlineStr">
        <is>
          <t>None</t>
        </is>
      </c>
      <c r="N98" s="146" t="inlineStr">
        <is>
          <t>None</t>
        </is>
      </c>
      <c r="O98" s="149" t="inlineStr">
        <is>
          <t>L</t>
        </is>
      </c>
      <c r="P98" s="148" t="inlineStr">
        <is>
          <t>Dynamic model incorporating dent shoulder effects provides more accurate impulse characteristics than models neglecting shoulder geometry.</t>
        </is>
      </c>
      <c r="Q98" s="126" t="n"/>
      <c r="R98" s="126" t="n"/>
      <c r="S98" s="126" t="n"/>
      <c r="T98" s="125" t="inlineStr">
        <is>
          <t>✓</t>
        </is>
      </c>
      <c r="U98" s="126" t="n"/>
      <c r="V98" s="126" t="n"/>
      <c r="W98" s="126" t="n"/>
      <c r="X98" s="126" t="n"/>
      <c r="Y98" s="126" t="n"/>
      <c r="Z98" s="127" t="inlineStr">
        <is>
          <t>✓</t>
        </is>
      </c>
      <c r="AA98" s="126" t="n"/>
      <c r="AB98" s="126" t="n"/>
      <c r="AC98" s="126" t="n"/>
      <c r="AD98" s="126" t="n"/>
      <c r="AE98" s="127" t="inlineStr">
        <is>
          <t>✓</t>
        </is>
      </c>
      <c r="AF98" s="126" t="n"/>
      <c r="AG98" s="126" t="n"/>
      <c r="AH98" s="126" t="n"/>
      <c r="AI98" s="126" t="n"/>
      <c r="AJ98" s="126" t="n"/>
    </row>
    <row r="99" ht="64.5" customHeight="1" s="109">
      <c r="A99" s="145" t="n">
        <v>97</v>
      </c>
      <c r="B99" s="146" t="inlineStr">
        <is>
          <t>Liu J. et al.</t>
        </is>
      </c>
      <c r="C99" s="145" t="n">
        <v>2019</v>
      </c>
      <c r="D99" s="146" t="inlineStr">
        <is>
          <t>Influence of the local defect distribution on vibration characteristics of ball bearings</t>
        </is>
      </c>
      <c r="E99" s="146" t="inlineStr">
        <is>
          <t>DGBB 6308-2RZ</t>
        </is>
      </c>
      <c r="F99" s="146" t="inlineStr">
        <is>
          <t>Not specified</t>
        </is>
      </c>
      <c r="G99" s="146" t="inlineStr">
        <is>
          <t>Vibration acceleration; defect offset/skew effects; contact stiffness variation</t>
        </is>
      </c>
      <c r="H99" s="146" t="inlineStr">
        <is>
          <t>Vibration</t>
        </is>
      </c>
      <c r="I99" s="130" t="inlineStr">
        <is>
          <t>N/A</t>
        </is>
      </c>
      <c r="J99" s="130" t="inlineStr">
        <is>
          <t>N/A</t>
        </is>
      </c>
      <c r="K99" s="146" t="inlineStr">
        <is>
          <t>Accelerometer 20 kHz</t>
        </is>
      </c>
      <c r="L99" s="146" t="inlineStr">
        <is>
          <t>Multi-body dynamic model; Hertzian contact; STEP damping; frequency spectrum</t>
        </is>
      </c>
      <c r="M99" s="146" t="inlineStr">
        <is>
          <t>None</t>
        </is>
      </c>
      <c r="N99" s="146" t="inlineStr">
        <is>
          <t>None</t>
        </is>
      </c>
      <c r="O99" s="149" t="inlineStr">
        <is>
          <t>L</t>
        </is>
      </c>
      <c r="P99" s="148" t="inlineStr">
        <is>
          <t>Offset distance and skew angle of outer race defects significantly influence vibration signatures; guidance for early fault diagnosis via defect characterisation.</t>
        </is>
      </c>
      <c r="Q99" s="126" t="n"/>
      <c r="R99" s="126" t="n"/>
      <c r="S99" s="126" t="n"/>
      <c r="T99" s="125" t="inlineStr">
        <is>
          <t>✓</t>
        </is>
      </c>
      <c r="U99" s="126" t="n"/>
      <c r="V99" s="126" t="n"/>
      <c r="W99" s="126" t="n"/>
      <c r="X99" s="126" t="n"/>
      <c r="Y99" s="126" t="n"/>
      <c r="Z99" s="127" t="inlineStr">
        <is>
          <t>✓</t>
        </is>
      </c>
      <c r="AA99" s="126" t="n"/>
      <c r="AB99" s="126" t="n"/>
      <c r="AC99" s="126" t="n"/>
      <c r="AD99" s="126" t="n"/>
      <c r="AE99" s="127" t="inlineStr">
        <is>
          <t>✓</t>
        </is>
      </c>
      <c r="AF99" s="126" t="n"/>
      <c r="AG99" s="126" t="n"/>
      <c r="AH99" s="126" t="n"/>
      <c r="AI99" s="126" t="n"/>
      <c r="AJ99" s="126" t="n"/>
    </row>
    <row r="100" ht="64.5" customHeight="1" s="109">
      <c r="A100" s="135" t="n">
        <v>98</v>
      </c>
      <c r="B100" s="136" t="inlineStr">
        <is>
          <t>Hansen J. et al.</t>
        </is>
      </c>
      <c r="C100" s="135" t="n">
        <v>2021</v>
      </c>
      <c r="D100" s="136" t="inlineStr">
        <is>
          <t>A New Film Parameter for Rough Surface EHL Contacts with Anisotropic and Isotropic Structures</t>
        </is>
      </c>
      <c r="E100" s="136" t="inlineStr">
        <is>
          <t>Ball-on-disc (bearing-representative contact)</t>
        </is>
      </c>
      <c r="F100" s="136" t="inlineStr">
        <is>
          <t>EHL (PAO lubricant)</t>
        </is>
      </c>
      <c r="G100" s="136" t="inlineStr">
        <is>
          <t>Film thickness; micro-EHL; surface roughness; asperity deformation and interaction</t>
        </is>
      </c>
      <c r="H100" s="136" t="inlineStr">
        <is>
          <t>Impedance/Capacitance + Optical</t>
        </is>
      </c>
      <c r="I100" s="130" t="inlineStr">
        <is>
          <t>N/A</t>
        </is>
      </c>
      <c r="J100" s="130" t="inlineStr">
        <is>
          <t>N/A</t>
        </is>
      </c>
      <c r="K100" s="136" t="inlineStr">
        <is>
          <t>Electrical capacitance tomography + optical surface profilometer (Zygo NewView 3D)</t>
        </is>
      </c>
      <c r="L100" s="136" t="inlineStr">
        <is>
          <t>Classical EHL; micro-EHL framework; watershed segmentation algorithm</t>
        </is>
      </c>
      <c r="M100" s="136" t="inlineStr">
        <is>
          <t>None</t>
        </is>
      </c>
      <c r="N100" s="136" t="inlineStr">
        <is>
          <t>None</t>
        </is>
      </c>
      <c r="O100" s="123" t="inlineStr">
        <is>
          <t>H</t>
        </is>
      </c>
      <c r="P100" s="137" t="inlineStr">
        <is>
          <t>Updated film parameter Λ* accounting for micro-EHL effects accurately predicts mixed and full-film EHL regimes; validated at 1.69 GPa contact load.</t>
        </is>
      </c>
      <c r="Q100" s="126" t="n"/>
      <c r="R100" s="125" t="inlineStr">
        <is>
          <t>✓</t>
        </is>
      </c>
      <c r="S100" s="126" t="n"/>
      <c r="T100" s="126" t="n"/>
      <c r="U100" s="125" t="inlineStr">
        <is>
          <t>✓</t>
        </is>
      </c>
      <c r="V100" s="126" t="n"/>
      <c r="W100" s="126" t="n"/>
      <c r="X100" s="126" t="n"/>
      <c r="Y100" s="126" t="n"/>
      <c r="Z100" s="126" t="n"/>
      <c r="AA100" s="126" t="n"/>
      <c r="AB100" s="126" t="n"/>
      <c r="AC100" s="127" t="inlineStr">
        <is>
          <t>✓</t>
        </is>
      </c>
      <c r="AD100" s="126" t="n"/>
      <c r="AE100" s="127" t="inlineStr">
        <is>
          <t>✓</t>
        </is>
      </c>
      <c r="AF100" s="126" t="n"/>
      <c r="AG100" s="126" t="n"/>
      <c r="AH100" s="126" t="n"/>
      <c r="AI100" s="126" t="n"/>
      <c r="AJ100" s="126" t="n"/>
    </row>
    <row r="101" ht="64.5" customHeight="1" s="109">
      <c r="A101" s="131" t="n">
        <v>99</v>
      </c>
      <c r="B101" s="132" t="inlineStr">
        <is>
          <t>Liu Y. et al.</t>
        </is>
      </c>
      <c r="C101" s="131" t="n">
        <v>2021</v>
      </c>
      <c r="D101" s="132" t="inlineStr">
        <is>
          <t>A combined acoustic and dynamic model of a defective ball bearing</t>
        </is>
      </c>
      <c r="E101" s="132" t="inlineStr">
        <is>
          <t>Angular contact ball bearing</t>
        </is>
      </c>
      <c r="F101" s="132" t="inlineStr">
        <is>
          <t>Oil (EHL)</t>
        </is>
      </c>
      <c r="G101" s="132" t="inlineStr">
        <is>
          <t>AE; vibration; elastic hysteresis; differential sliding; friction torques</t>
        </is>
      </c>
      <c r="H101" s="132" t="inlineStr">
        <is>
          <t>AE + Vibration</t>
        </is>
      </c>
      <c r="I101" s="121" t="inlineStr">
        <is>
          <t>Active</t>
        </is>
      </c>
      <c r="J101" s="128" t="inlineStr">
        <is>
          <t>Invasive</t>
        </is>
      </c>
      <c r="K101" s="132" t="inlineStr">
        <is>
          <t>AE monitoring instrument + vibration sensors</t>
        </is>
      </c>
      <c r="L101" s="132" t="inlineStr">
        <is>
          <t>Time-dependent displacement excitation (TDE) model; acoustic impulse analysis</t>
        </is>
      </c>
      <c r="M101" s="132" t="inlineStr">
        <is>
          <t>None</t>
        </is>
      </c>
      <c r="N101" s="132" t="inlineStr">
        <is>
          <t>None</t>
        </is>
      </c>
      <c r="O101" s="134" t="inlineStr">
        <is>
          <t>M</t>
        </is>
      </c>
      <c r="P101" s="133" t="inlineStr">
        <is>
          <t>Combined acoustic-dynamic model considering ball-cage interactions, sliding friction, and elastic hysteresis for accurate prediction of defective ACBB AE characteristics.</t>
        </is>
      </c>
      <c r="Q101" s="126" t="n"/>
      <c r="R101" s="126" t="n"/>
      <c r="S101" s="125" t="inlineStr">
        <is>
          <t>✓</t>
        </is>
      </c>
      <c r="T101" s="125" t="inlineStr">
        <is>
          <t>✓</t>
        </is>
      </c>
      <c r="U101" s="126" t="n"/>
      <c r="V101" s="126" t="n"/>
      <c r="W101" s="126" t="n"/>
      <c r="X101" s="126" t="n"/>
      <c r="Y101" s="125" t="inlineStr">
        <is>
          <t>✓</t>
        </is>
      </c>
      <c r="Z101" s="127" t="inlineStr">
        <is>
          <t>✓</t>
        </is>
      </c>
      <c r="AA101" s="126" t="n"/>
      <c r="AB101" s="127" t="inlineStr">
        <is>
          <t>✓</t>
        </is>
      </c>
      <c r="AC101" s="127" t="inlineStr">
        <is>
          <t>✓</t>
        </is>
      </c>
      <c r="AD101" s="126" t="n"/>
      <c r="AE101" s="127" t="inlineStr">
        <is>
          <t>✓</t>
        </is>
      </c>
      <c r="AF101" s="126" t="n"/>
      <c r="AG101" s="126" t="n"/>
      <c r="AH101" s="126" t="n"/>
      <c r="AI101" s="126" t="n"/>
      <c r="AJ101" s="126" t="n"/>
    </row>
    <row r="102" ht="64.5" customHeight="1" s="109">
      <c r="A102" s="138" t="n">
        <v>100</v>
      </c>
      <c r="B102" s="139" t="inlineStr">
        <is>
          <t>Liu Y. &amp; Xu</t>
        </is>
      </c>
      <c r="C102" s="138" t="n">
        <v>2022</v>
      </c>
      <c r="D102" s="139" t="inlineStr">
        <is>
          <t>A simulation investigation of lubricating characteristics for a cylindrical roller bearing of a high-power gearbox</t>
        </is>
      </c>
      <c r="E102" s="139" t="inlineStr">
        <is>
          <t>Cylindrical roller bearing (high-power gearbox)</t>
        </is>
      </c>
      <c r="F102" s="139" t="inlineStr">
        <is>
          <t>Oil-jet lubrication (AOTPF air-oil two-phase)</t>
        </is>
      </c>
      <c r="G102" s="139" t="inlineStr">
        <is>
          <t>Thermal characteristics; oil flow patterns; heat transfer; viscosity effects; temperature</t>
        </is>
      </c>
      <c r="H102" s="139" t="inlineStr">
        <is>
          <t>CFD Simulation</t>
        </is>
      </c>
      <c r="I102" s="144" t="inlineStr">
        <is>
          <t>Passive</t>
        </is>
      </c>
      <c r="J102" s="122" t="inlineStr">
        <is>
          <t>Semi-Invasive</t>
        </is>
      </c>
      <c r="K102" s="139" t="inlineStr">
        <is>
          <t>Temperature sensors; flowmeter; strain gauges; thermocouples</t>
        </is>
      </c>
      <c r="L102" s="139" t="inlineStr">
        <is>
          <t>Fluid-structure coupling; continuity &amp; momentum equations; VOF two-phase flow model</t>
        </is>
      </c>
      <c r="M102" s="139" t="inlineStr">
        <is>
          <t>None</t>
        </is>
      </c>
      <c r="N102" s="139" t="inlineStr">
        <is>
          <t>None</t>
        </is>
      </c>
      <c r="O102" s="123" t="inlineStr">
        <is>
          <t>H</t>
        </is>
      </c>
      <c r="P102" s="140" t="inlineStr">
        <is>
          <t>Transient thermal boundary fluid-structure coupling model for oil-jet lubricated CRB; investigates lubrication performance under varying operating conditions.</t>
        </is>
      </c>
      <c r="Q102" s="126" t="n"/>
      <c r="R102" s="126" t="n"/>
      <c r="S102" s="126" t="n"/>
      <c r="T102" s="126" t="n"/>
      <c r="U102" s="126" t="n"/>
      <c r="V102" s="125" t="inlineStr">
        <is>
          <t>✓</t>
        </is>
      </c>
      <c r="W102" s="126" t="n"/>
      <c r="X102" s="126" t="n"/>
      <c r="Y102" s="126" t="n"/>
      <c r="Z102" s="126" t="n"/>
      <c r="AA102" s="126" t="n"/>
      <c r="AB102" s="126" t="n"/>
      <c r="AC102" s="126" t="n"/>
      <c r="AD102" s="126" t="n"/>
      <c r="AE102" s="127" t="inlineStr">
        <is>
          <t>✓</t>
        </is>
      </c>
      <c r="AF102" s="126" t="n"/>
      <c r="AG102" s="126" t="n"/>
      <c r="AH102" s="126" t="n"/>
      <c r="AI102" s="126" t="n"/>
      <c r="AJ102" s="126" t="n"/>
    </row>
    <row r="103" ht="64.5" customHeight="1" s="109">
      <c r="A103" s="145" t="n">
        <v>101</v>
      </c>
      <c r="B103" s="146" t="inlineStr">
        <is>
          <t>Qin et al.</t>
        </is>
      </c>
      <c r="C103" s="145" t="n">
        <v>2020</v>
      </c>
      <c r="D103" s="146" t="inlineStr">
        <is>
          <t>Multiple-degree-of-freedom dynamic model of rolling bearing with a localized surface defect</t>
        </is>
      </c>
      <c r="E103" s="146" t="inlineStr">
        <is>
          <t>ACBB (localised surface defect)</t>
        </is>
      </c>
      <c r="F103" s="146" t="inlineStr">
        <is>
          <t>Not specified</t>
        </is>
      </c>
      <c r="G103" s="146" t="inlineStr">
        <is>
          <t>Vibration response; cage motion; ball acceleration; time-varying contact deformation</t>
        </is>
      </c>
      <c r="H103" s="146" t="inlineStr">
        <is>
          <t>Vibration (modelling)</t>
        </is>
      </c>
      <c r="I103" s="130" t="inlineStr">
        <is>
          <t>N/A</t>
        </is>
      </c>
      <c r="J103" s="130" t="inlineStr">
        <is>
          <t>N/A</t>
        </is>
      </c>
      <c r="K103" s="146" t="inlineStr">
        <is>
          <t>Accelerometers</t>
        </is>
      </c>
      <c r="L103" s="146" t="inlineStr">
        <is>
          <t>Runge-Kutta algorithm (nonlinear ODE); frequency analysis</t>
        </is>
      </c>
      <c r="M103" s="146" t="inlineStr">
        <is>
          <t>None</t>
        </is>
      </c>
      <c r="N103" s="146" t="inlineStr">
        <is>
          <t>None</t>
        </is>
      </c>
      <c r="O103" s="149" t="inlineStr">
        <is>
          <t>L</t>
        </is>
      </c>
      <c r="P103" s="148" t="inlineStr">
        <is>
          <t>Multi-DOF model including gyroscopic moments, centrifugal forces, and time-varying contact angles provides comprehensive vibration response for defective high-speed bearings.</t>
        </is>
      </c>
      <c r="Q103" s="126" t="n"/>
      <c r="R103" s="126" t="n"/>
      <c r="S103" s="126" t="n"/>
      <c r="T103" s="125" t="inlineStr">
        <is>
          <t>✓</t>
        </is>
      </c>
      <c r="U103" s="126" t="n"/>
      <c r="V103" s="126" t="n"/>
      <c r="W103" s="126" t="n"/>
      <c r="X103" s="126" t="n"/>
      <c r="Y103" s="126" t="n"/>
      <c r="Z103" s="127" t="inlineStr">
        <is>
          <t>✓</t>
        </is>
      </c>
      <c r="AA103" s="126" t="n"/>
      <c r="AB103" s="126" t="n"/>
      <c r="AC103" s="126" t="n"/>
      <c r="AD103" s="126" t="n"/>
      <c r="AE103" s="127" t="inlineStr">
        <is>
          <t>✓</t>
        </is>
      </c>
      <c r="AF103" s="126" t="n"/>
      <c r="AG103" s="126" t="n"/>
      <c r="AH103" s="126" t="n"/>
      <c r="AI103" s="126" t="n"/>
      <c r="AJ103" s="126" t="n"/>
    </row>
    <row r="104" ht="64.5" customHeight="1" s="109">
      <c r="A104" s="145" t="n">
        <v>102</v>
      </c>
      <c r="B104" s="146" t="inlineStr">
        <is>
          <t>Pan et al.</t>
        </is>
      </c>
      <c r="C104" s="145" t="n">
        <v>2018</v>
      </c>
      <c r="D104" s="146" t="inlineStr">
        <is>
          <t>Symplectic geometry mode decomposition and its application to rotating machinery compound fault diagnosis</t>
        </is>
      </c>
      <c r="E104" s="146" t="inlineStr">
        <is>
          <t>Rolling element bearings</t>
        </is>
      </c>
      <c r="F104" s="146" t="inlineStr">
        <is>
          <t>Not specified</t>
        </is>
      </c>
      <c r="G104" s="146" t="inlineStr">
        <is>
          <t>Vibration; nonlinear system behaviour; compound fault modes</t>
        </is>
      </c>
      <c r="H104" s="146" t="inlineStr">
        <is>
          <t>Vibration</t>
        </is>
      </c>
      <c r="I104" s="130" t="inlineStr">
        <is>
          <t>N/A</t>
        </is>
      </c>
      <c r="J104" s="130" t="inlineStr">
        <is>
          <t>N/A</t>
        </is>
      </c>
      <c r="K104" s="146" t="inlineStr">
        <is>
          <t>Accelerometer</t>
        </is>
      </c>
      <c r="L104" s="146" t="inlineStr">
        <is>
          <t>Symplectic Geometry Mode Decomposition (SGMD) vs. EMD/LCD</t>
        </is>
      </c>
      <c r="M104" s="146" t="inlineStr">
        <is>
          <t>None</t>
        </is>
      </c>
      <c r="N104" s="146" t="inlineStr">
        <is>
          <t>None</t>
        </is>
      </c>
      <c r="O104" s="149" t="inlineStr">
        <is>
          <t>L</t>
        </is>
      </c>
      <c r="P104" s="148" t="inlineStr">
        <is>
          <t>Novel SGMD decomposes compound fault vibration signals into independent modes without user-defined parameters; self-adaptive and robust to noise.</t>
        </is>
      </c>
      <c r="Q104" s="126" t="n"/>
      <c r="R104" s="126" t="n"/>
      <c r="S104" s="126" t="n"/>
      <c r="T104" s="125" t="inlineStr">
        <is>
          <t>✓</t>
        </is>
      </c>
      <c r="U104" s="126" t="n"/>
      <c r="V104" s="126" t="n"/>
      <c r="W104" s="126" t="n"/>
      <c r="X104" s="126" t="n"/>
      <c r="Y104" s="126" t="n"/>
      <c r="Z104" s="127" t="inlineStr">
        <is>
          <t>✓</t>
        </is>
      </c>
      <c r="AA104" s="126" t="n"/>
      <c r="AB104" s="126" t="n"/>
      <c r="AC104" s="126" t="n"/>
      <c r="AD104" s="127" t="inlineStr">
        <is>
          <t>✓</t>
        </is>
      </c>
      <c r="AE104" s="126" t="n"/>
      <c r="AF104" s="126" t="n"/>
      <c r="AG104" s="126" t="n"/>
      <c r="AH104" s="126" t="n"/>
      <c r="AI104" s="126" t="n"/>
      <c r="AJ104" s="126" t="n"/>
    </row>
    <row r="105" ht="64.5" customHeight="1" s="109">
      <c r="A105" s="131" t="n">
        <v>103</v>
      </c>
      <c r="B105" s="132" t="inlineStr">
        <is>
          <t>Yu et al.</t>
        </is>
      </c>
      <c r="C105" s="131" t="n">
        <v>2022</v>
      </c>
      <c r="D105" s="132" t="inlineStr">
        <is>
          <t>Feature enhancement method of rolling bearing acoustic signal based on RLS-RSSD</t>
        </is>
      </c>
      <c r="E105" s="132" t="inlineStr">
        <is>
          <t>Rolling element bearings</t>
        </is>
      </c>
      <c r="F105" s="132" t="inlineStr">
        <is>
          <t>Grease (implied)</t>
        </is>
      </c>
      <c r="G105" s="132" t="inlineStr">
        <is>
          <t>Bearing acoustic signals; reverberation; shock impulses from defects</t>
        </is>
      </c>
      <c r="H105" s="132" t="inlineStr">
        <is>
          <t>Acoustic</t>
        </is>
      </c>
      <c r="I105" s="144" t="inlineStr">
        <is>
          <t>Passive</t>
        </is>
      </c>
      <c r="J105" s="122" t="inlineStr">
        <is>
          <t>Semi-Invasive</t>
        </is>
      </c>
      <c r="K105" s="132" t="inlineStr">
        <is>
          <t>AE/acoustic sensor + microphone</t>
        </is>
      </c>
      <c r="L105" s="132" t="inlineStr">
        <is>
          <t>RLS (Recursive Least Squares); RSSD (Resonance-based Sparse Signal Decomposition); Hilbert envelope; wavelet denoising</t>
        </is>
      </c>
      <c r="M105" s="132" t="inlineStr">
        <is>
          <t>None</t>
        </is>
      </c>
      <c r="N105" s="132" t="inlineStr">
        <is>
          <t>None</t>
        </is>
      </c>
      <c r="O105" s="134" t="inlineStr">
        <is>
          <t>M</t>
        </is>
      </c>
      <c r="P105" s="133" t="inlineStr">
        <is>
          <t>RLS-RSSD eliminates reverberation interference from acoustic bearing signals; accurately extracts fault features even under strong low-frequency noise.</t>
        </is>
      </c>
      <c r="Q105" s="126" t="n"/>
      <c r="R105" s="126" t="n"/>
      <c r="S105" s="126" t="n"/>
      <c r="T105" s="126" t="n"/>
      <c r="U105" s="126" t="n"/>
      <c r="V105" s="126" t="n"/>
      <c r="W105" s="126" t="n"/>
      <c r="X105" s="126" t="n"/>
      <c r="Y105" s="126" t="n"/>
      <c r="Z105" s="127" t="inlineStr">
        <is>
          <t>✓</t>
        </is>
      </c>
      <c r="AA105" s="127" t="inlineStr">
        <is>
          <t>✓</t>
        </is>
      </c>
      <c r="AB105" s="127" t="inlineStr">
        <is>
          <t>✓</t>
        </is>
      </c>
      <c r="AC105" s="126" t="n"/>
      <c r="AD105" s="127" t="inlineStr">
        <is>
          <t>✓</t>
        </is>
      </c>
      <c r="AE105" s="126" t="n"/>
      <c r="AF105" s="126" t="n"/>
      <c r="AG105" s="126" t="n"/>
      <c r="AH105" s="126" t="n"/>
      <c r="AI105" s="126" t="n"/>
      <c r="AJ105" s="126" t="n"/>
    </row>
    <row r="106" ht="64.5" customHeight="1" s="109">
      <c r="A106" s="145" t="n">
        <v>104</v>
      </c>
      <c r="B106" s="146" t="inlineStr">
        <is>
          <t>Wang Z. et al.</t>
        </is>
      </c>
      <c r="C106" s="145" t="n">
        <v>2018</v>
      </c>
      <c r="D106" s="146" t="inlineStr">
        <is>
          <t>Prognostics and Health Management: A Review of Vibration Based Bearing and Gear Health Indicators</t>
        </is>
      </c>
      <c r="E106" s="146" t="inlineStr">
        <is>
          <t>Ball bearings and gears (review)</t>
        </is>
      </c>
      <c r="F106" s="146" t="inlineStr">
        <is>
          <t>Not specified</t>
        </is>
      </c>
      <c r="G106" s="146" t="inlineStr">
        <is>
          <t>Vibration degradation; kurtosis; envelope spectra; statistical parameters</t>
        </is>
      </c>
      <c r="H106" s="146" t="inlineStr">
        <is>
          <t>Vibration</t>
        </is>
      </c>
      <c r="I106" s="144" t="inlineStr">
        <is>
          <t>Passive</t>
        </is>
      </c>
      <c r="J106" s="122" t="inlineStr">
        <is>
          <t>Semi-Invasive</t>
        </is>
      </c>
      <c r="K106" s="146" t="inlineStr">
        <is>
          <t>Accelerometers + acoustic sensors (review)</t>
        </is>
      </c>
      <c r="L106" s="146" t="inlineStr">
        <is>
          <t>Wavelet; band-pass filter; envelope; statistical methods (kurtosis, SI); spectral analysis (review)</t>
        </is>
      </c>
      <c r="M106" s="146" t="inlineStr">
        <is>
          <t>Statistical models; Bayesian inference; AR models; ML (review)</t>
        </is>
      </c>
      <c r="N106" s="146" t="inlineStr">
        <is>
          <t>Classical ML</t>
        </is>
      </c>
      <c r="O106" s="149" t="inlineStr">
        <is>
          <t>L</t>
        </is>
      </c>
      <c r="P106" s="148" t="inlineStr">
        <is>
          <t>Review of vibration-based health indicators for CM and RUL prediction; covers progression from statistical features to advanced wavelet and ML approaches.</t>
        </is>
      </c>
      <c r="Q106" s="126" t="n"/>
      <c r="R106" s="126" t="n"/>
      <c r="S106" s="126" t="n"/>
      <c r="T106" s="125" t="inlineStr">
        <is>
          <t>✓</t>
        </is>
      </c>
      <c r="U106" s="126" t="n"/>
      <c r="V106" s="126" t="n"/>
      <c r="W106" s="126" t="n"/>
      <c r="X106" s="126" t="n"/>
      <c r="Y106" s="126" t="n"/>
      <c r="Z106" s="127" t="inlineStr">
        <is>
          <t>✓</t>
        </is>
      </c>
      <c r="AA106" s="127" t="inlineStr">
        <is>
          <t>✓</t>
        </is>
      </c>
      <c r="AB106" s="127" t="inlineStr">
        <is>
          <t>✓</t>
        </is>
      </c>
      <c r="AC106" s="127" t="inlineStr">
        <is>
          <t>✓</t>
        </is>
      </c>
      <c r="AD106" s="126" t="n"/>
      <c r="AE106" s="126" t="n"/>
      <c r="AF106" s="129" t="inlineStr">
        <is>
          <t>✓</t>
        </is>
      </c>
      <c r="AG106" s="126" t="n"/>
      <c r="AH106" s="126" t="n"/>
      <c r="AI106" s="126" t="n"/>
      <c r="AJ106" s="126" t="n"/>
    </row>
    <row r="107" ht="64.5" customHeight="1" s="109">
      <c r="A107" s="154" t="n">
        <v>105</v>
      </c>
      <c r="B107" s="155" t="inlineStr">
        <is>
          <t>Gangsar et al.</t>
        </is>
      </c>
      <c r="C107" s="154" t="n">
        <v>2022</v>
      </c>
      <c r="D107" s="155" t="inlineStr">
        <is>
          <t>A review on deep learning based condition monitoring and fault diagnosis of rotating machinery</t>
        </is>
      </c>
      <c r="E107" s="155" t="inlineStr">
        <is>
          <t>Rotor-bearing systems (review)</t>
        </is>
      </c>
      <c r="F107" s="155" t="inlineStr">
        <is>
          <t>Not specified</t>
        </is>
      </c>
      <c r="G107" s="155" t="inlineStr">
        <is>
          <t>Bearing faults; cage fault; element fault; outer/inner race faults</t>
        </is>
      </c>
      <c r="H107" s="155" t="inlineStr">
        <is>
          <t>Multi-sensor (review)</t>
        </is>
      </c>
      <c r="I107" s="144" t="inlineStr">
        <is>
          <t>Passive</t>
        </is>
      </c>
      <c r="J107" s="122" t="inlineStr">
        <is>
          <t>Semi-Invasive</t>
        </is>
      </c>
      <c r="K107" s="155" t="inlineStr">
        <is>
          <t>Vibration; current; thermal; AE; torque; acoustic noise sensors (review)</t>
        </is>
      </c>
      <c r="L107" s="155" t="inlineStr">
        <is>
          <t>Time/freq/TF domain; noise filtering; feature extraction (review)</t>
        </is>
      </c>
      <c r="M107" s="155" t="inlineStr">
        <is>
          <t>DL (DNN, DBN, CNN, RNN, SAE, GAN); conventional ML (fuzzy, SVM, ANN)</t>
        </is>
      </c>
      <c r="N107" s="155" t="inlineStr">
        <is>
          <t>Hybrid DL</t>
        </is>
      </c>
      <c r="O107" s="149" t="inlineStr">
        <is>
          <t>L</t>
        </is>
      </c>
      <c r="P107" s="156" t="inlineStr">
        <is>
          <t>Comprehensive review demonstrating DL superiority over conventional ML for automated fault diagnosis; addresses unbalanced/unlabeled data and automated feature learning.</t>
        </is>
      </c>
      <c r="Q107" s="126" t="n"/>
      <c r="R107" s="126" t="n"/>
      <c r="S107" s="126" t="n"/>
      <c r="T107" s="125" t="inlineStr">
        <is>
          <t>✓</t>
        </is>
      </c>
      <c r="U107" s="126" t="n"/>
      <c r="V107" s="126" t="n"/>
      <c r="W107" s="126" t="n"/>
      <c r="X107" s="126" t="n"/>
      <c r="Y107" s="126" t="n"/>
      <c r="Z107" s="127" t="inlineStr">
        <is>
          <t>✓</t>
        </is>
      </c>
      <c r="AA107" s="127" t="inlineStr">
        <is>
          <t>✓</t>
        </is>
      </c>
      <c r="AB107" s="127" t="inlineStr">
        <is>
          <t>✓</t>
        </is>
      </c>
      <c r="AC107" s="127" t="inlineStr">
        <is>
          <t>✓</t>
        </is>
      </c>
      <c r="AD107" s="126" t="n"/>
      <c r="AE107" s="126" t="n"/>
      <c r="AF107" s="129" t="inlineStr">
        <is>
          <t>✓</t>
        </is>
      </c>
      <c r="AG107" s="129" t="inlineStr">
        <is>
          <t>✓</t>
        </is>
      </c>
      <c r="AH107" s="129" t="inlineStr">
        <is>
          <t>✓</t>
        </is>
      </c>
      <c r="AI107" s="126" t="n"/>
      <c r="AJ107" s="126" t="n"/>
    </row>
    <row r="108" ht="64.5" customHeight="1" s="109">
      <c r="A108" s="131" t="n">
        <v>106</v>
      </c>
      <c r="B108" s="132" t="inlineStr">
        <is>
          <t>Jung W. et al.</t>
        </is>
      </c>
      <c r="C108" s="131" t="n">
        <v>2024</v>
      </c>
      <c r="D108" s="132" t="inlineStr">
        <is>
          <t>Vibration, and temperature run-to-failure dataset of ball bearing for prognostics</t>
        </is>
      </c>
      <c r="E108" s="132" t="inlineStr">
        <is>
          <t>NSK 6205 DGBB (9 balls)</t>
        </is>
      </c>
      <c r="F108" s="132" t="inlineStr">
        <is>
          <t>Not specified</t>
        </is>
      </c>
      <c r="G108" s="132" t="inlineStr">
        <is>
          <t>Vibration (multi-axis); temperature; spall propagation; defect growth</t>
        </is>
      </c>
      <c r="H108" s="132" t="inlineStr">
        <is>
          <t>Vibration + Thermal</t>
        </is>
      </c>
      <c r="I108" s="144" t="inlineStr">
        <is>
          <t>Passive</t>
        </is>
      </c>
      <c r="J108" s="122" t="inlineStr">
        <is>
          <t>Semi-Invasive</t>
        </is>
      </c>
      <c r="K108" s="132" t="inlineStr">
        <is>
          <t>PCB 352C34 accelerometers (x, y) + K-type thermocouple</t>
        </is>
      </c>
      <c r="L108" s="132" t="inlineStr">
        <is>
          <t>Time-domain (RMS); freq-domain (BPFI, BPFO, BSF, FTF); characteristic frequency tracking</t>
        </is>
      </c>
      <c r="M108" s="132" t="inlineStr">
        <is>
          <t>DL-based RUL prediction (mentioned); Weibull estimation</t>
        </is>
      </c>
      <c r="N108" s="132" t="inlineStr">
        <is>
          <t>Hybrid DL</t>
        </is>
      </c>
      <c r="O108" s="149" t="inlineStr">
        <is>
          <t>L</t>
        </is>
      </c>
      <c r="P108" s="133" t="inlineStr">
        <is>
          <t>Provides complete 128-hour run-to-failure vibration and temperature dataset with microscopic fault analysis; enables validation of RUL prediction methods.</t>
        </is>
      </c>
      <c r="Q108" s="126" t="n"/>
      <c r="R108" s="126" t="n"/>
      <c r="S108" s="126" t="n"/>
      <c r="T108" s="125" t="inlineStr">
        <is>
          <t>✓</t>
        </is>
      </c>
      <c r="U108" s="126" t="n"/>
      <c r="V108" s="125" t="inlineStr">
        <is>
          <t>✓</t>
        </is>
      </c>
      <c r="W108" s="126" t="n"/>
      <c r="X108" s="126" t="n"/>
      <c r="Y108" s="125" t="inlineStr">
        <is>
          <t>✓</t>
        </is>
      </c>
      <c r="Z108" s="127" t="inlineStr">
        <is>
          <t>✓</t>
        </is>
      </c>
      <c r="AA108" s="126" t="n"/>
      <c r="AB108" s="126" t="n"/>
      <c r="AC108" s="127" t="inlineStr">
        <is>
          <t>✓</t>
        </is>
      </c>
      <c r="AD108" s="126" t="n"/>
      <c r="AE108" s="126" t="n"/>
      <c r="AF108" s="126" t="n"/>
      <c r="AG108" s="126" t="n"/>
      <c r="AH108" s="129" t="inlineStr">
        <is>
          <t>✓</t>
        </is>
      </c>
      <c r="AI108" s="126" t="n"/>
      <c r="AJ108" s="126" t="n"/>
    </row>
    <row r="109" ht="64.5" customHeight="1" s="109">
      <c r="A109" s="145" t="n">
        <v>107</v>
      </c>
      <c r="B109" s="146" t="inlineStr">
        <is>
          <t>Arpa et al.</t>
        </is>
      </c>
      <c r="C109" s="145" t="n">
        <v>2024</v>
      </c>
      <c r="D109" s="146" t="inlineStr">
        <is>
          <t>University of Ferrara run-to-failure vibration dataset of self-aligning double-row ball bearings</t>
        </is>
      </c>
      <c r="E109" s="146" t="inlineStr">
        <is>
          <t>Self-aligning DGBB (1205 ETN9, 12 balls/row)</t>
        </is>
      </c>
      <c r="F109" s="146" t="inlineStr">
        <is>
          <t>Not specified</t>
        </is>
      </c>
      <c r="G109" s="146" t="inlineStr">
        <is>
          <t>Vibration degradation; outer raceway defects; pitting</t>
        </is>
      </c>
      <c r="H109" s="146" t="inlineStr">
        <is>
          <t>Vibration</t>
        </is>
      </c>
      <c r="I109" s="144" t="inlineStr">
        <is>
          <t>Passive</t>
        </is>
      </c>
      <c r="J109" s="122" t="inlineStr">
        <is>
          <t>Semi-Invasive</t>
        </is>
      </c>
      <c r="K109" s="146" t="inlineStr">
        <is>
          <t>PCB 353B15 uniaxial accelerometer (radial); NI cRIO 9234</t>
        </is>
      </c>
      <c r="L109" s="146" t="inlineStr">
        <is>
          <t>Time-domain (RMS); freq-domain (BPFI 284 Hz, BPFO 196 Hz, RE 103 Hz); characteristic frequencies</t>
        </is>
      </c>
      <c r="M109" s="146" t="inlineStr">
        <is>
          <t>Physics-based prognostics (Equivalent Damaged Volume)</t>
        </is>
      </c>
      <c r="N109" s="146" t="inlineStr">
        <is>
          <t>Survival</t>
        </is>
      </c>
      <c r="O109" s="149" t="inlineStr">
        <is>
          <t>L</t>
        </is>
      </c>
      <c r="P109" s="148" t="inlineStr">
        <is>
          <t>Extensive 6-test run-to-failure dataset at 25.6 kHz sampling; clear healthy/degraded state transitions for physics-based and data-driven prognostics validation.</t>
        </is>
      </c>
      <c r="Q109" s="126" t="n"/>
      <c r="R109" s="126" t="n"/>
      <c r="S109" s="126" t="n"/>
      <c r="T109" s="125" t="inlineStr">
        <is>
          <t>✓</t>
        </is>
      </c>
      <c r="U109" s="126" t="n"/>
      <c r="V109" s="126" t="n"/>
      <c r="W109" s="126" t="n"/>
      <c r="X109" s="126" t="n"/>
      <c r="Y109" s="126" t="n"/>
      <c r="Z109" s="127" t="inlineStr">
        <is>
          <t>✓</t>
        </is>
      </c>
      <c r="AA109" s="126" t="n"/>
      <c r="AB109" s="126" t="n"/>
      <c r="AC109" s="127" t="inlineStr">
        <is>
          <t>✓</t>
        </is>
      </c>
      <c r="AD109" s="126" t="n"/>
      <c r="AE109" s="127" t="inlineStr">
        <is>
          <t>✓</t>
        </is>
      </c>
      <c r="AF109" s="126" t="n"/>
      <c r="AG109" s="126" t="n"/>
      <c r="AH109" s="126" t="n"/>
      <c r="AI109" s="126" t="n"/>
      <c r="AJ109" s="129" t="inlineStr">
        <is>
          <t>✓</t>
        </is>
      </c>
    </row>
    <row r="110" ht="64.5" customHeight="1" s="109">
      <c r="A110" s="145" t="n">
        <v>108</v>
      </c>
      <c r="B110" s="146" t="inlineStr">
        <is>
          <t>Jakobsen M.O.</t>
        </is>
      </c>
      <c r="C110" s="145" t="n">
        <v>2024</v>
      </c>
      <c r="D110" s="146" t="inlineStr">
        <is>
          <t>Low cost MEMS accelerometer and microphone based condition monitoring sensor, with LoRa and Bluetooth Low Energy radio</t>
        </is>
      </c>
      <c r="E110" s="146" t="inlineStr">
        <is>
          <t>General industrial rotating machinery</t>
        </is>
      </c>
      <c r="F110" s="146" t="inlineStr">
        <is>
          <t>Not specified</t>
        </is>
      </c>
      <c r="G110" s="146" t="inlineStr">
        <is>
          <t>Vibration (DC to 80 kHz); audible vibration signatures; bearing health</t>
        </is>
      </c>
      <c r="H110" s="146" t="inlineStr">
        <is>
          <t>Vibration/Acoustic (MEMS)</t>
        </is>
      </c>
      <c r="I110" s="144" t="inlineStr">
        <is>
          <t>Passive</t>
        </is>
      </c>
      <c r="J110" s="122" t="inlineStr">
        <is>
          <t>Semi-Invasive</t>
        </is>
      </c>
      <c r="K110" s="146" t="inlineStr">
        <is>
          <t>SPH0641LU MEMS microphone (10–80 kHz) + ADXL1002 MEMS accelerometer + ADXL362 3-axis + TMP117 temperature</t>
        </is>
      </c>
      <c r="L110" s="146" t="inlineStr">
        <is>
          <t>High-frequency vibration analysis; frequency-domain; raw data transmission via LoRa/BLE</t>
        </is>
      </c>
      <c r="M110" s="146" t="inlineStr">
        <is>
          <t>TinyML on-device inference (mentioned)</t>
        </is>
      </c>
      <c r="N110" s="146" t="inlineStr">
        <is>
          <t>Classical ML</t>
        </is>
      </c>
      <c r="O110" s="134" t="inlineStr">
        <is>
          <t>M</t>
        </is>
      </c>
      <c r="P110" s="148" t="inlineStr">
        <is>
          <t>Low-cost MEMS multi-sensor node (vibration + ultrasonic microphone + temperature) with LoRa/BLE wireless transmission; enables edge TinyML inference for IoT-based bearing CM.</t>
        </is>
      </c>
      <c r="Q110" s="126" t="n"/>
      <c r="R110" s="126" t="n"/>
      <c r="S110" s="126" t="n"/>
      <c r="T110" s="125" t="inlineStr">
        <is>
          <t>✓</t>
        </is>
      </c>
      <c r="U110" s="126" t="n"/>
      <c r="V110" s="125" t="inlineStr">
        <is>
          <t>✓</t>
        </is>
      </c>
      <c r="W110" s="126" t="n"/>
      <c r="X110" s="126" t="n"/>
      <c r="Y110" s="125" t="inlineStr">
        <is>
          <t>✓</t>
        </is>
      </c>
      <c r="Z110" s="127" t="inlineStr">
        <is>
          <t>✓</t>
        </is>
      </c>
      <c r="AA110" s="126" t="n"/>
      <c r="AB110" s="126" t="n"/>
      <c r="AC110" s="127" t="inlineStr">
        <is>
          <t>✓</t>
        </is>
      </c>
      <c r="AD110" s="126" t="n"/>
      <c r="AE110" s="126" t="n"/>
      <c r="AF110" s="129" t="inlineStr">
        <is>
          <t>✓</t>
        </is>
      </c>
      <c r="AG110" s="126" t="n"/>
      <c r="AH110" s="126" t="n"/>
      <c r="AI110" s="126" t="n"/>
      <c r="AJ110" s="126" t="n"/>
    </row>
    <row r="111" ht="64.5" customHeight="1" s="109">
      <c r="A111" s="150" t="n">
        <v>109</v>
      </c>
      <c r="B111" s="151" t="inlineStr">
        <is>
          <t>Sitzmann &amp; Golafshan</t>
        </is>
      </c>
      <c r="C111" s="150" t="n">
        <v>2025</v>
      </c>
      <c r="D111" s="151" t="inlineStr">
        <is>
          <t>The integration of predictive and preventive maintenance strategies based on oil and vibration analyses techniques for industrial gearboxes</t>
        </is>
      </c>
      <c r="E111" s="151" t="inlineStr">
        <is>
          <t>Rolling bearings in industrial gearboxes</t>
        </is>
      </c>
      <c r="F111" s="151" t="inlineStr">
        <is>
          <t>Oil (ISO 4406 cleanliness monitoring)</t>
        </is>
      </c>
      <c r="G111" s="151" t="inlineStr">
        <is>
          <t>Oil quality (contamination, oxidation, water, viscosity) + vibration (RMS, Kurtosis, Crest Factor)</t>
        </is>
      </c>
      <c r="H111" s="151" t="inlineStr">
        <is>
          <t>Oil/Debris + Vibration</t>
        </is>
      </c>
      <c r="I111" s="144" t="inlineStr">
        <is>
          <t>Passive</t>
        </is>
      </c>
      <c r="J111" s="122" t="inlineStr">
        <is>
          <t>Semi-Invasive</t>
        </is>
      </c>
      <c r="K111" s="151" t="inlineStr">
        <is>
          <t>Vibration accelerometers + oil quality sensors (permittivity, conductivity, solid contamination count)</t>
        </is>
      </c>
      <c r="L111" s="151" t="inlineStr">
        <is>
          <t>FFT; time-domain indicators (RMS, Kurtosis, Crest Factor); edge-computing preprocessing</t>
        </is>
      </c>
      <c r="M111" s="151" t="inlineStr">
        <is>
          <t>Cloud-based dashboard; edge computing (not fully ML)</t>
        </is>
      </c>
      <c r="N111" s="151" t="inlineStr">
        <is>
          <t>Classical ML</t>
        </is>
      </c>
      <c r="O111" s="123" t="inlineStr">
        <is>
          <t>H</t>
        </is>
      </c>
      <c r="P111" s="152" t="inlineStr">
        <is>
          <t>Integrated oil quality + vibration system with edge-computing and cloud dashboard; field-validated on industrial gearboxes and water turbine; combines predictive and preventive strategies.</t>
        </is>
      </c>
      <c r="Q111" s="126" t="n"/>
      <c r="R111" s="126" t="n"/>
      <c r="S111" s="126" t="n"/>
      <c r="T111" s="125" t="inlineStr">
        <is>
          <t>✓</t>
        </is>
      </c>
      <c r="U111" s="126" t="n"/>
      <c r="V111" s="126" t="n"/>
      <c r="W111" s="126" t="n"/>
      <c r="X111" s="125" t="inlineStr">
        <is>
          <t>✓</t>
        </is>
      </c>
      <c r="Y111" s="125" t="inlineStr">
        <is>
          <t>✓</t>
        </is>
      </c>
      <c r="Z111" s="127" t="inlineStr">
        <is>
          <t>✓</t>
        </is>
      </c>
      <c r="AA111" s="126" t="n"/>
      <c r="AB111" s="126" t="n"/>
      <c r="AC111" s="127" t="inlineStr">
        <is>
          <t>✓</t>
        </is>
      </c>
      <c r="AD111" s="126" t="n"/>
      <c r="AE111" s="126" t="n"/>
      <c r="AF111" s="129" t="inlineStr">
        <is>
          <t>✓</t>
        </is>
      </c>
      <c r="AG111" s="126" t="n"/>
      <c r="AH111" s="126" t="n"/>
      <c r="AI111" s="126" t="n"/>
      <c r="AJ111" s="126" t="n"/>
    </row>
    <row r="112">
      <c r="A112" s="160" t="n">
        <v>110</v>
      </c>
      <c r="B112" s="161" t="inlineStr">
        <is>
          <t>Zhang et al.</t>
        </is>
      </c>
      <c r="C112" s="160" t="n">
        <v>2026</v>
      </c>
      <c r="D112" s="161" t="inlineStr">
        <is>
          <t>An Interpretable Rolling-Bearing Lubrication-State Diagnosis Method Based on Multiscale Residual and Semantic Consistency CycleGAN</t>
        </is>
      </c>
      <c r="E112" s="161" t="inlineStr">
        <is>
          <t>DGBB SKF 6308</t>
        </is>
      </c>
      <c r="F112" s="161" t="inlineStr">
        <is>
          <t>Grease (SKF grease; normal, degraded, insufficient, contaminated states)</t>
        </is>
      </c>
      <c r="G112" s="161" t="inlineStr">
        <is>
          <t>Vibration; four lubrication states (normal, degraded, insufficient, contaminated grease)</t>
        </is>
      </c>
      <c r="H112" s="161" t="inlineStr">
        <is>
          <t>Vibration</t>
        </is>
      </c>
      <c r="I112" s="162" t="inlineStr">
        <is>
          <t>Passive</t>
        </is>
      </c>
      <c r="J112" s="163" t="inlineStr">
        <is>
          <t>Non-Invasive</t>
        </is>
      </c>
      <c r="K112" s="161" t="inlineStr">
        <is>
          <t>Piezoelectric accelerometer (Type 4535-B-001, ICP module)</t>
        </is>
      </c>
      <c r="L112" s="161" t="inlineStr">
        <is>
          <t>High-frequency broadband spectral analysis; feature extraction from vibration signals</t>
        </is>
      </c>
      <c r="M112" s="161" t="inlineStr">
        <is>
          <t>MSRS-CycleGAN (domain adaptation); Autoencoder (anomaly detection); CNN (state classification)</t>
        </is>
      </c>
      <c r="N112" s="161" t="inlineStr">
        <is>
          <t>Hybrid DL</t>
        </is>
      </c>
      <c r="O112" s="164" t="inlineStr">
        <is>
          <t>H</t>
        </is>
      </c>
      <c r="P112" s="161" t="inlineStr">
        <is>
          <t>Lab-to-field domain adaptation for zero-fault-data lubrication-state diagnosis; MSRS-CycleGAN generates realistic field-style lubrication anomaly signals while preserving state-discriminative structure; hierarchical AE + CNN strategy distinguishes four grease lubrication states.</t>
        </is>
      </c>
      <c r="Q112" s="165" t="n"/>
      <c r="R112" s="165" t="n"/>
      <c r="S112" s="165" t="n"/>
      <c r="T112" s="166" t="inlineStr">
        <is>
          <t>✓</t>
        </is>
      </c>
      <c r="U112" s="165" t="n"/>
      <c r="V112" s="165" t="n"/>
      <c r="W112" s="165" t="n"/>
      <c r="X112" s="165" t="n"/>
      <c r="Y112" s="165" t="n"/>
      <c r="Z112" s="167" t="inlineStr">
        <is>
          <t>✓</t>
        </is>
      </c>
      <c r="AA112" s="165" t="n"/>
      <c r="AB112" s="165" t="n"/>
      <c r="AC112" s="165" t="n"/>
      <c r="AD112" s="165" t="n"/>
      <c r="AE112" s="165" t="n"/>
      <c r="AF112" s="165" t="n"/>
      <c r="AG112" s="168" t="inlineStr">
        <is>
          <t>✓</t>
        </is>
      </c>
      <c r="AH112" s="165" t="n"/>
      <c r="AI112" s="165" t="n"/>
      <c r="AJ112" s="165" t="n"/>
    </row>
    <row r="113">
      <c r="A113" s="169" t="n">
        <v>111</v>
      </c>
      <c r="B113" s="170" t="inlineStr">
        <is>
          <t>Chen et al.</t>
        </is>
      </c>
      <c r="C113" s="169" t="n">
        <v>2023</v>
      </c>
      <c r="D113" s="170" t="inlineStr">
        <is>
          <t>Evaluation of the Running Status of Ball Bearings Using Ultrasonic Signals</t>
        </is>
      </c>
      <c r="E113" s="170" t="inlineStr">
        <is>
          <t>DGBB 6308</t>
        </is>
      </c>
      <c r="F113" s="170" t="inlineStr">
        <is>
          <t>Oil (varying fill levels; EHL)</t>
        </is>
      </c>
      <c r="G113" s="170" t="inlineStr">
        <is>
          <t>Lubricant film distribution; reflection coefficient; pitting fault severity; running status</t>
        </is>
      </c>
      <c r="H113" s="170" t="inlineStr">
        <is>
          <t>Ultrasonic</t>
        </is>
      </c>
      <c r="I113" s="171" t="inlineStr">
        <is>
          <t>Active</t>
        </is>
      </c>
      <c r="J113" s="172" t="inlineStr">
        <is>
          <t>Semi-Invasive</t>
        </is>
      </c>
      <c r="K113" s="170" t="inlineStr">
        <is>
          <t>5 MHz ultrasonic probe (pulse-echo); outer race mounted; delay block; 60 MHz sampling</t>
        </is>
      </c>
      <c r="L113" s="170" t="inlineStr">
        <is>
          <t>Reflection coefficient; spring model (quasistatic); ToF analysis; frequency-domain</t>
        </is>
      </c>
      <c r="M113" s="170" t="inlineStr">
        <is>
          <t>None</t>
        </is>
      </c>
      <c r="N113" s="170" t="inlineStr">
        <is>
          <t>None</t>
        </is>
      </c>
      <c r="O113" s="164" t="inlineStr">
        <is>
          <t>H</t>
        </is>
      </c>
      <c r="P113" s="170" t="inlineStr">
        <is>
          <t>Demonstrates ultrasonic reflection coefficient method simultaneously monitors lubricant film distribution and detects pitting faults at various severities; ultrasound-indicated film distribution shows good consistency with bearing running status changes.</t>
        </is>
      </c>
      <c r="Q113" s="166" t="inlineStr">
        <is>
          <t>✓</t>
        </is>
      </c>
      <c r="R113" s="165" t="n"/>
      <c r="S113" s="165" t="n"/>
      <c r="T113" s="165" t="n"/>
      <c r="U113" s="165" t="n"/>
      <c r="V113" s="165" t="n"/>
      <c r="W113" s="165" t="n"/>
      <c r="X113" s="165" t="n"/>
      <c r="Y113" s="165" t="n"/>
      <c r="Z113" s="167" t="inlineStr">
        <is>
          <t>✓</t>
        </is>
      </c>
      <c r="AA113" s="165" t="n"/>
      <c r="AB113" s="165" t="n"/>
      <c r="AC113" s="165" t="n"/>
      <c r="AD113" s="165" t="n"/>
      <c r="AE113" s="167" t="inlineStr">
        <is>
          <t>✓</t>
        </is>
      </c>
      <c r="AF113" s="165" t="n"/>
      <c r="AG113" s="165" t="n"/>
      <c r="AH113" s="165" t="n"/>
      <c r="AI113" s="165" t="n"/>
      <c r="AJ113" s="165" t="n"/>
    </row>
    <row r="114">
      <c r="A114" s="173" t="n">
        <v>112</v>
      </c>
      <c r="B114" s="174" t="inlineStr">
        <is>
          <t>van de Voort F.R.</t>
        </is>
      </c>
      <c r="C114" s="173" t="n">
        <v>2022</v>
      </c>
      <c r="D114" s="174" t="inlineStr">
        <is>
          <t>FTIR Condition Monitoring of In-Service Lubricants: Analytical Role and Quantitative Evolution</t>
        </is>
      </c>
      <c r="E114" s="174" t="inlineStr">
        <is>
          <t>General rotating machinery (wind turbines, gearboxes; not bearing-specific)</t>
        </is>
      </c>
      <c r="F114" s="174" t="inlineStr">
        <is>
          <t>In-service mineral/synthetic oils</t>
        </is>
      </c>
      <c r="G114" s="174" t="inlineStr">
        <is>
          <t>Lubricant degradation: Acid Number, Base Number, moisture, oxidation, nitration, sulphation</t>
        </is>
      </c>
      <c r="H114" s="174" t="inlineStr">
        <is>
          <t>Oil/Debris Analysis</t>
        </is>
      </c>
      <c r="I114" s="171" t="inlineStr">
        <is>
          <t>Active</t>
        </is>
      </c>
      <c r="J114" s="175" t="inlineStr">
        <is>
          <t>Invasive</t>
        </is>
      </c>
      <c r="K114" s="174" t="inlineStr">
        <is>
          <t>FTIR spectrometer; stoichiometric and chemometric quantitative methods; ASTM D664/D2896/E1064</t>
        </is>
      </c>
      <c r="L114" s="174" t="inlineStr">
        <is>
          <t>Spectral peak analysis; stoichiometric quantification; chemometric (PLS) regression</t>
        </is>
      </c>
      <c r="M114" s="174" t="inlineStr">
        <is>
          <t>Chemometrics (PLS regression)</t>
        </is>
      </c>
      <c r="N114" s="174" t="inlineStr">
        <is>
          <t>Classical ML</t>
        </is>
      </c>
      <c r="O114" s="164" t="inlineStr">
        <is>
          <t>H</t>
        </is>
      </c>
      <c r="P114" s="174" t="inlineStr">
        <is>
          <t>Review of FTIR evolution from qualitative screening to quantitative lubricant CM; compares stoichiometric vs. chemometric approaches; ASTM-comparable quantitative data via proprietary systems; proposes new universal single-reaction-product method unifying AN/BN/H2O determination.</t>
        </is>
      </c>
      <c r="Q114" s="165" t="n"/>
      <c r="R114" s="165" t="n"/>
      <c r="S114" s="165" t="n"/>
      <c r="T114" s="165" t="n"/>
      <c r="U114" s="165" t="n"/>
      <c r="V114" s="165" t="n"/>
      <c r="W114" s="165" t="n"/>
      <c r="X114" s="166" t="inlineStr">
        <is>
          <t>✓</t>
        </is>
      </c>
      <c r="Y114" s="165" t="n"/>
      <c r="Z114" s="167" t="inlineStr">
        <is>
          <t>✓</t>
        </is>
      </c>
      <c r="AA114" s="165" t="n"/>
      <c r="AB114" s="165" t="n"/>
      <c r="AC114" s="165" t="n"/>
      <c r="AD114" s="165" t="n"/>
      <c r="AE114" s="165" t="n"/>
      <c r="AF114" s="168" t="inlineStr">
        <is>
          <t>✓</t>
        </is>
      </c>
      <c r="AG114" s="165" t="n"/>
      <c r="AH114" s="165" t="n"/>
      <c r="AI114" s="165" t="n"/>
      <c r="AJ114" s="165" t="n"/>
    </row>
    <row r="115">
      <c r="A115" s="176" t="n">
        <v>113</v>
      </c>
      <c r="B115" s="177" t="inlineStr">
        <is>
          <t>Zhang et al.</t>
        </is>
      </c>
      <c r="C115" s="176" t="n">
        <v>2026</v>
      </c>
      <c r="D115" s="177" t="inlineStr">
        <is>
          <t>A Coupled Vibration-Acoustic Emission Model for Roller Bearings Incorporating Lubricant Traction and Sliding Friction</t>
        </is>
      </c>
      <c r="E115" s="177" t="inlineStr">
        <is>
          <t>Cylindrical roller bearing (N406)</t>
        </is>
      </c>
      <c r="F115" s="177" t="inlineStr">
        <is>
          <t>Grease (SKF LGHB2 and LGLT2; different viscosities)</t>
        </is>
      </c>
      <c r="G115" s="177" t="inlineStr">
        <is>
          <t>AE signals; vibration; lubricant traction; asperity contact; EHL film stiffness; sliding friction torque</t>
        </is>
      </c>
      <c r="H115" s="177" t="inlineStr">
        <is>
          <t>AE + Vibration</t>
        </is>
      </c>
      <c r="I115" s="162" t="inlineStr">
        <is>
          <t>Passive</t>
        </is>
      </c>
      <c r="J115" s="172" t="inlineStr">
        <is>
          <t>Semi-Invasive</t>
        </is>
      </c>
      <c r="K115" s="177" t="inlineStr">
        <is>
          <t>AE sensor; accelerometer; TIME3220 stylus profiler (surface roughness); RMS monitoring</t>
        </is>
      </c>
      <c r="L115" s="177" t="inlineStr">
        <is>
          <t>Dynamic bearing model; AE mathematical model; RMS analysis; frequency analysis</t>
        </is>
      </c>
      <c r="M115" s="177" t="inlineStr">
        <is>
          <t>None</t>
        </is>
      </c>
      <c r="N115" s="177" t="inlineStr">
        <is>
          <t>None</t>
        </is>
      </c>
      <c r="O115" s="164" t="inlineStr">
        <is>
          <t>H</t>
        </is>
      </c>
      <c r="P115" s="177" t="inlineStr">
        <is>
          <t>Improved coupled VIB-AE model incorporating lubricant traction dynamics; reveals two distinct AE generation mechanisms (asperity contact + sliding friction); validated with LGHB2/LGLT2 greases of distinct viscosities; provides theoretical foundation for AE-based lubrication monitoring in roller bearings.</t>
        </is>
      </c>
      <c r="Q115" s="165" t="n"/>
      <c r="R115" s="165" t="n"/>
      <c r="S115" s="166" t="inlineStr">
        <is>
          <t>✓</t>
        </is>
      </c>
      <c r="T115" s="166" t="inlineStr">
        <is>
          <t>✓</t>
        </is>
      </c>
      <c r="U115" s="165" t="n"/>
      <c r="V115" s="165" t="n"/>
      <c r="W115" s="165" t="n"/>
      <c r="X115" s="165" t="n"/>
      <c r="Y115" s="166" t="inlineStr">
        <is>
          <t>✓</t>
        </is>
      </c>
      <c r="Z115" s="167" t="inlineStr">
        <is>
          <t>✓</t>
        </is>
      </c>
      <c r="AA115" s="165" t="n"/>
      <c r="AB115" s="165" t="n"/>
      <c r="AC115" s="167" t="inlineStr">
        <is>
          <t>✓</t>
        </is>
      </c>
      <c r="AD115" s="165" t="n"/>
      <c r="AE115" s="167" t="inlineStr">
        <is>
          <t>✓</t>
        </is>
      </c>
      <c r="AF115" s="165" t="n"/>
      <c r="AG115" s="165" t="n"/>
      <c r="AH115" s="165" t="n"/>
      <c r="AI115" s="165" t="n"/>
      <c r="AJ115" s="165" t="n"/>
    </row>
    <row r="116">
      <c r="A116" s="178" t="n">
        <v>114</v>
      </c>
      <c r="B116" s="179" t="inlineStr">
        <is>
          <t>Moleda et al.</t>
        </is>
      </c>
      <c r="C116" s="178" t="n">
        <v>2023</v>
      </c>
      <c r="D116" s="179" t="inlineStr">
        <is>
          <t>From Corrective to Predictive Maintenance—A Review of Maintenance Approaches for the Power Industry</t>
        </is>
      </c>
      <c r="E116" s="179" t="inlineStr">
        <is>
          <t>General rotating machinery (power industry)</t>
        </is>
      </c>
      <c r="F116" s="179" t="inlineStr">
        <is>
          <t>Not specified</t>
        </is>
      </c>
      <c r="G116" s="179" t="inlineStr">
        <is>
          <t>Equipment health; anomalies; failure modes; condition parameters</t>
        </is>
      </c>
      <c r="H116" s="179" t="inlineStr">
        <is>
          <t>Multi-sensor (review)</t>
        </is>
      </c>
      <c r="I116" s="180" t="inlineStr">
        <is>
          <t>N/A</t>
        </is>
      </c>
      <c r="J116" s="180" t="inlineStr">
        <is>
          <t>N/A</t>
        </is>
      </c>
      <c r="K116" s="179" t="inlineStr">
        <is>
          <t>Various (vibration, thermal, oil, current sensors – review)</t>
        </is>
      </c>
      <c r="L116" s="179" t="inlineStr">
        <is>
          <t>Statistical; AI-based analytics; PHM; IoT (review)</t>
        </is>
      </c>
      <c r="M116" s="179" t="inlineStr">
        <is>
          <t>AI; ML; PHM; Industry 4.0; IoT (review)</t>
        </is>
      </c>
      <c r="N116" s="179" t="inlineStr">
        <is>
          <t>Classical ML</t>
        </is>
      </c>
      <c r="O116" s="181" t="inlineStr">
        <is>
          <t>L</t>
        </is>
      </c>
      <c r="P116" s="179" t="inlineStr">
        <is>
          <t>Systematic review of maintenance evolution from corrective to predictive for the power industry; covers PHM techniques, requirements and limitations, AI-based analytics, Industry 4.0 and IoT; bridges gap between engineering practice and advanced analytics research.</t>
        </is>
      </c>
      <c r="Q116" s="165" t="n"/>
      <c r="R116" s="165" t="n"/>
      <c r="S116" s="165" t="n"/>
      <c r="T116" s="166" t="inlineStr">
        <is>
          <t>✓</t>
        </is>
      </c>
      <c r="U116" s="165" t="n"/>
      <c r="V116" s="165" t="n"/>
      <c r="W116" s="165" t="n"/>
      <c r="X116" s="166" t="inlineStr">
        <is>
          <t>✓</t>
        </is>
      </c>
      <c r="Y116" s="166" t="inlineStr">
        <is>
          <t>✓</t>
        </is>
      </c>
      <c r="Z116" s="167" t="inlineStr">
        <is>
          <t>✓</t>
        </is>
      </c>
      <c r="AA116" s="165" t="n"/>
      <c r="AB116" s="165" t="n"/>
      <c r="AC116" s="167" t="inlineStr">
        <is>
          <t>✓</t>
        </is>
      </c>
      <c r="AD116" s="165" t="n"/>
      <c r="AE116" s="165" t="n"/>
      <c r="AF116" s="168" t="inlineStr">
        <is>
          <t>✓</t>
        </is>
      </c>
      <c r="AG116" s="165" t="n"/>
      <c r="AH116" s="165" t="n"/>
      <c r="AI116" s="165" t="n"/>
      <c r="AJ116" s="165" t="n"/>
    </row>
    <row r="117">
      <c r="A117" s="176" t="n">
        <v>115</v>
      </c>
      <c r="B117" s="177" t="inlineStr">
        <is>
          <t>Scheeren et al.</t>
        </is>
      </c>
      <c r="C117" s="176" t="n">
        <v>2022</v>
      </c>
      <c r="D117" s="177" t="inlineStr">
        <is>
          <t>Evaluation of Ultrasonic Stress Wave Transmission in Cylindrical Roller Bearings for Acoustic Emission Condition Monitoring</t>
        </is>
      </c>
      <c r="E117" s="177" t="inlineStr">
        <is>
          <t>Cylindrical roller bearing (low-speed sheave/slew bearing)</t>
        </is>
      </c>
      <c r="F117" s="177" t="inlineStr">
        <is>
          <t>Not specified (static test)</t>
        </is>
      </c>
      <c r="G117" s="177" t="inlineStr">
        <is>
          <t>Ultrasonic stress wave propagation; transmission loss across roller-raceway interfaces; AE signal attenuation</t>
        </is>
      </c>
      <c r="H117" s="177" t="inlineStr">
        <is>
          <t>Acoustic Emission</t>
        </is>
      </c>
      <c r="I117" s="162" t="inlineStr">
        <is>
          <t>Passive</t>
        </is>
      </c>
      <c r="J117" s="172" t="inlineStr">
        <is>
          <t>Semi-Invasive</t>
        </is>
      </c>
      <c r="K117" s="177" t="inlineStr">
        <is>
          <t>Simulated AE sources (piezoelectric actuator); broadband AE sensors; static bearing test rig</t>
        </is>
      </c>
      <c r="L117" s="177" t="inlineStr">
        <is>
          <t>Time-frequency analysis; transmission coefficient extraction; wavelet transform; analytical wave propagation framework</t>
        </is>
      </c>
      <c r="M117" s="177" t="inlineStr">
        <is>
          <t>None</t>
        </is>
      </c>
      <c r="N117" s="177" t="inlineStr">
        <is>
          <t>None</t>
        </is>
      </c>
      <c r="O117" s="238" t="inlineStr">
        <is>
          <t>M</t>
        </is>
      </c>
      <c r="P117" s="177" t="inlineStr">
        <is>
          <t>Analytical framework for ultrasonic stress wave propagation and transmission through roller bearing geometry; 10–15 dB loss per interface; low-to-mid frequency (&lt;200 kHz) signals retain enough energy to cross from one raceway to the other — informs optimal AE sensor placement.</t>
        </is>
      </c>
      <c r="Q117" s="165" t="n"/>
      <c r="R117" s="165" t="n"/>
      <c r="S117" s="166" t="inlineStr">
        <is>
          <t>✓</t>
        </is>
      </c>
      <c r="T117" s="165" t="n"/>
      <c r="U117" s="165" t="n"/>
      <c r="V117" s="165" t="n"/>
      <c r="W117" s="165" t="n"/>
      <c r="X117" s="165" t="n"/>
      <c r="Y117" s="165" t="n"/>
      <c r="Z117" s="167" t="inlineStr">
        <is>
          <t>✓</t>
        </is>
      </c>
      <c r="AA117" s="167" t="inlineStr">
        <is>
          <t>✓</t>
        </is>
      </c>
      <c r="AB117" s="165" t="n"/>
      <c r="AC117" s="165" t="n"/>
      <c r="AD117" s="165" t="n"/>
      <c r="AE117" s="167" t="inlineStr">
        <is>
          <t>✓</t>
        </is>
      </c>
      <c r="AF117" s="165" t="n"/>
      <c r="AG117" s="165" t="n"/>
      <c r="AH117" s="165" t="n"/>
      <c r="AI117" s="165" t="n"/>
      <c r="AJ117" s="165" t="n"/>
    </row>
  </sheetData>
  <autoFilter ref="A2:AJ116"/>
  <mergeCells count="4">
    <mergeCell ref="Q1:Y1"/>
    <mergeCell ref="A1:P1"/>
    <mergeCell ref="Z1:AE1"/>
    <mergeCell ref="AF1:A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108" min="1" max="1"/>
    <col width="60" customWidth="1" style="108" min="2" max="2"/>
    <col width="18" customWidth="1" style="108" min="3" max="3"/>
  </cols>
  <sheetData>
    <row r="1" ht="19.5" customHeight="1" s="109">
      <c r="A1" s="182" t="inlineStr">
        <is>
          <t>ROW COLOUR — PRIMARY SENSING CATEGORY</t>
        </is>
      </c>
    </row>
    <row r="2" ht="18" customHeight="1" s="109">
      <c r="A2" s="183" t="inlineStr">
        <is>
          <t>Ultrasonic (US)</t>
        </is>
      </c>
      <c r="B2" s="184" t="inlineStr">
        <is>
          <t>Ultrasonic pulse-echo, SAW, piezoelectric thin film</t>
        </is>
      </c>
    </row>
    <row r="3" ht="18" customHeight="1" s="109">
      <c r="A3" s="185" t="inlineStr">
        <is>
          <t>Impedance/Capacitance (E/C)</t>
        </is>
      </c>
      <c r="B3" s="184" t="inlineStr">
        <is>
          <t>Electrical impedance, capacitance, RC methods</t>
        </is>
      </c>
    </row>
    <row r="4" ht="18" customHeight="1" s="109">
      <c r="A4" s="186" t="inlineStr">
        <is>
          <t>Acoustic Emission (AE)</t>
        </is>
      </c>
      <c r="B4" s="184" t="inlineStr">
        <is>
          <t>Piezoelectric AE sensors; AE+vibration compound systems</t>
        </is>
      </c>
    </row>
    <row r="5" ht="18" customHeight="1" s="109">
      <c r="A5" s="187" t="inlineStr">
        <is>
          <t>Vibration (VIB)</t>
        </is>
      </c>
      <c r="B5" s="184" t="inlineStr">
        <is>
          <t>Accelerometers, MEMS microphones, vibration sensors</t>
        </is>
      </c>
    </row>
    <row r="6" ht="18" customHeight="1" s="109">
      <c r="A6" s="188" t="inlineStr">
        <is>
          <t>Optical (OPT)</t>
        </is>
      </c>
      <c r="B6" s="184" t="inlineStr">
        <is>
          <t>Optical imaging, interferometry, fluorescence, profilometry</t>
        </is>
      </c>
    </row>
    <row r="7" ht="18" customHeight="1" s="109">
      <c r="A7" s="189" t="inlineStr">
        <is>
          <t>Thermal / IR</t>
        </is>
      </c>
      <c r="B7" s="184" t="inlineStr">
        <is>
          <t>IR thermography, thermocouples, thermal modelling, CFD</t>
        </is>
      </c>
    </row>
    <row r="8" ht="18" customHeight="1" s="109">
      <c r="A8" s="190" t="inlineStr">
        <is>
          <t>Oil / Debris</t>
        </is>
      </c>
      <c r="B8" s="184" t="inlineStr">
        <is>
          <t>Oil debris analysis, inductive/capacitive/optical debris sensors</t>
        </is>
      </c>
    </row>
    <row r="9" ht="18" customHeight="1" s="109">
      <c r="A9" s="191" t="inlineStr">
        <is>
          <t>Multi-sensor</t>
        </is>
      </c>
      <c r="B9" s="184" t="inlineStr">
        <is>
          <t>Two or more independent sensing modalities integrated</t>
        </is>
      </c>
    </row>
    <row r="10" ht="18" customHeight="1" s="109">
      <c r="A10" s="192" t="inlineStr">
        <is>
          <t>Other (Reviews, Models)</t>
        </is>
      </c>
      <c r="B10" s="184" t="inlineStr">
        <is>
          <t>Literature reviews, analytical models, datasets</t>
        </is>
      </c>
    </row>
    <row r="11" ht="18" customHeight="1" s="109"/>
    <row r="12" ht="18" customHeight="1" s="109">
      <c r="A12" s="193" t="inlineStr">
        <is>
          <t>LUBRICATION FOCUS</t>
        </is>
      </c>
    </row>
    <row r="13" ht="18" customHeight="1" s="109">
      <c r="A13" s="194" t="inlineStr">
        <is>
          <t>H – High</t>
        </is>
      </c>
      <c r="B13" s="184" t="inlineStr">
        <is>
          <t>Paper directly addresses lubrication condition monitoring as primary goal</t>
        </is>
      </c>
    </row>
    <row r="14" ht="18" customHeight="1" s="109">
      <c r="A14" s="195" t="inlineStr">
        <is>
          <t>M – Medium</t>
        </is>
      </c>
      <c r="B14" s="184" t="inlineStr">
        <is>
          <t>Lubrication is one of several monitored parameters or application context</t>
        </is>
      </c>
    </row>
    <row r="15" ht="18" customHeight="1" s="109">
      <c r="A15" s="196" t="inlineStr">
        <is>
          <t>L – Low</t>
        </is>
      </c>
      <c r="B15" s="184" t="inlineStr">
        <is>
          <t>Primarily general fault diagnosis; lubrication secondary or not addressed</t>
        </is>
      </c>
    </row>
    <row r="16" ht="18" customHeight="1" s="109"/>
    <row r="17" ht="18" customHeight="1" s="109">
      <c r="A17" s="197" t="inlineStr">
        <is>
          <t>ML / AI CATEGORY</t>
        </is>
      </c>
    </row>
    <row r="18" ht="18" customHeight="1" s="109">
      <c r="A18" s="198" t="inlineStr">
        <is>
          <t>None</t>
        </is>
      </c>
      <c r="B18" s="184" t="inlineStr">
        <is>
          <t>No machine learning or AI methods used</t>
        </is>
      </c>
    </row>
    <row r="19" ht="18" customHeight="1" s="109">
      <c r="A19" s="198" t="inlineStr">
        <is>
          <t>Classical ML</t>
        </is>
      </c>
      <c r="B19" s="184" t="inlineStr">
        <is>
          <t>SVM, Random Forest, k-NN, Decision Tree, GMM, k-means, clustering</t>
        </is>
      </c>
    </row>
    <row r="20" ht="18" customHeight="1" s="109">
      <c r="A20" s="198" t="inlineStr">
        <is>
          <t>CNN</t>
        </is>
      </c>
      <c r="B20" s="184" t="inlineStr">
        <is>
          <t>Convolutional Neural Network (1D or 2D)</t>
        </is>
      </c>
    </row>
    <row r="21" ht="18" customHeight="1" s="109">
      <c r="A21" s="198" t="inlineStr">
        <is>
          <t>LSTM-RNN</t>
        </is>
      </c>
      <c r="B21" s="184" t="inlineStr">
        <is>
          <t>Long Short-Term Memory, BiLSTM, BiGRU, Gated Recurrent Unit</t>
        </is>
      </c>
    </row>
    <row r="22" ht="18" customHeight="1" s="109">
      <c r="A22" s="198" t="inlineStr">
        <is>
          <t>Physics-NN</t>
        </is>
      </c>
      <c r="B22" s="184" t="inlineStr">
        <is>
          <t>Physics-informed neural network; model embeds domain knowledge</t>
        </is>
      </c>
    </row>
    <row r="23" ht="18" customHeight="1" s="109">
      <c r="A23" s="198" t="inlineStr">
        <is>
          <t>Survival</t>
        </is>
      </c>
      <c r="B23" s="184" t="inlineStr">
        <is>
          <t>Survival analysis models for RUL prediction; censoring-aware</t>
        </is>
      </c>
    </row>
    <row r="24" ht="18" customHeight="1" s="109">
      <c r="A24" s="198" t="inlineStr">
        <is>
          <t>Hybrid DL</t>
        </is>
      </c>
      <c r="B24" s="184" t="inlineStr">
        <is>
          <t>Combinations of CNN, LSTM, attention, ResNet, GAN, multi-branch architectures</t>
        </is>
      </c>
    </row>
    <row r="25" ht="18" customHeight="1" s="109"/>
    <row r="26" ht="18" customHeight="1" s="109">
      <c r="A26" s="199" t="inlineStr">
        <is>
          <t>INDICATOR COLUMN KEY</t>
        </is>
      </c>
    </row>
    <row r="27" ht="18" customHeight="1" s="109">
      <c r="A27" s="200" t="inlineStr">
        <is>
          <t>Green ✓</t>
        </is>
      </c>
      <c r="B27" s="201" t="inlineStr">
        <is>
          <t>Sensing method used in this paper</t>
        </is>
      </c>
      <c r="C27" s="202" t="n"/>
    </row>
    <row r="28" ht="18" customHeight="1" s="109">
      <c r="A28" s="203" t="inlineStr">
        <is>
          <t>Blue ✓</t>
        </is>
      </c>
      <c r="B28" s="201" t="inlineStr">
        <is>
          <t>Signal processing method used in this paper</t>
        </is>
      </c>
      <c r="C28" s="202" t="n"/>
    </row>
    <row r="29" ht="18" customHeight="1" s="109">
      <c r="A29" s="204" t="inlineStr">
        <is>
          <t>Orange ✓</t>
        </is>
      </c>
      <c r="B29" s="201" t="inlineStr">
        <is>
          <t>ML/AI method used in this paper</t>
        </is>
      </c>
      <c r="C29" s="202" t="n"/>
    </row>
    <row r="31" ht="19.5" customHeight="1" s="109">
      <c r="A31" s="205" t="inlineStr">
        <is>
          <t>ACTIVE / PASSIVE CLASSIFICATION</t>
        </is>
      </c>
    </row>
    <row r="32" ht="30" customHeight="1" s="109">
      <c r="A32" s="206" t="inlineStr">
        <is>
          <t>Active</t>
        </is>
      </c>
      <c r="B32" s="184" t="inlineStr">
        <is>
          <t>Sensing requires an external energy source injected into the system
(e.g. ultrasonic pulses, AC voltage/current, light beam, induced EM field)</t>
        </is>
      </c>
    </row>
    <row r="33" ht="30" customHeight="1" s="109">
      <c r="A33" s="207" t="inlineStr">
        <is>
          <t>Passive</t>
        </is>
      </c>
      <c r="B33" s="184" t="inlineStr">
        <is>
          <t>Sensing relies only on signals naturally generated by the bearing
(e.g. vibration, heat, acoustic emission from friction/damage, IR radiation)</t>
        </is>
      </c>
    </row>
    <row r="34" ht="30" customHeight="1" s="109">
      <c r="A34" s="208" t="inlineStr">
        <is>
          <t>Active + Passive</t>
        </is>
      </c>
      <c r="B34" s="184" t="inlineStr">
        <is>
          <t>Paper uses or covers both active and passive sensing modalities</t>
        </is>
      </c>
    </row>
    <row r="35" ht="30" customHeight="1" s="109">
      <c r="A35" s="209" t="inlineStr">
        <is>
          <t>N/A</t>
        </is>
      </c>
      <c r="B35" s="184" t="inlineStr">
        <is>
          <t>Review paper, simulation, or analytical model – no physical sensing method applied</t>
        </is>
      </c>
    </row>
    <row r="37" ht="19.5" customHeight="1" s="109">
      <c r="A37" s="210" t="inlineStr">
        <is>
          <t>INVASIVE / NON-INVASIVE CLASSIFICATION</t>
        </is>
      </c>
    </row>
    <row r="38" ht="39.75" customHeight="1" s="109">
      <c r="A38" s="211" t="inlineStr">
        <is>
          <t>Invasive</t>
        </is>
      </c>
      <c r="B38" s="184" t="inlineStr">
        <is>
          <t>Bearing component must be physically modified to accommodate the sensor
(e.g. machined grooves, insulated rings with electrodes, thin-film deposition on raceway, ceramic ball replacement, embedded sensors in oil circuit)</t>
        </is>
      </c>
    </row>
    <row r="39" ht="39.75" customHeight="1" s="109">
      <c r="A39" s="212" t="inlineStr">
        <is>
          <t>Semi-Invasive</t>
        </is>
      </c>
      <c r="B39" s="184" t="inlineStr">
        <is>
          <t>Sensor is mechanically coupled to the bearing or its housing without modifying bearing components
(e.g. accelerometer stud-mounted on housing, AE sensor with couplant, thermocouple on outer ring, ultrasonic probe with gel, FBG bonded to surface)</t>
        </is>
      </c>
    </row>
    <row r="40" ht="39.75" customHeight="1" s="109">
      <c r="A40" s="213" t="inlineStr">
        <is>
          <t>Non-Invasive</t>
        </is>
      </c>
      <c r="B40" s="184" t="inlineStr">
        <is>
          <t>Sensor operates without any mechanical contact with the bearing or its housing
(e.g. IR camera, MEMS microphone at distance, laser Doppler vibrometer, non-contact microphone array)</t>
        </is>
      </c>
    </row>
    <row r="41" ht="39.75" customHeight="1" s="109">
      <c r="A41" s="209" t="inlineStr">
        <is>
          <t>Varies / N/A</t>
        </is>
      </c>
      <c r="B41" s="184" t="inlineStr">
        <is>
          <t>Review paper covering multiple methods, or simulation/model with no physical sensor</t>
        </is>
      </c>
    </row>
  </sheetData>
  <mergeCells count="6">
    <mergeCell ref="A1:C1"/>
    <mergeCell ref="A37:C37"/>
    <mergeCell ref="A31:C31"/>
    <mergeCell ref="A17:C17"/>
    <mergeCell ref="A12:C12"/>
    <mergeCell ref="A26:C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108" min="1" max="1"/>
    <col width="10" customWidth="1" style="108" min="2" max="11"/>
  </cols>
  <sheetData>
    <row r="1" ht="21.75" customHeight="1" s="109">
      <c r="A1" s="214" t="inlineStr">
        <is>
          <t>SENSING METHODS × PAPER COUNT OVERVIEW</t>
        </is>
      </c>
    </row>
    <row r="2" ht="31.5" customHeight="1" s="109">
      <c r="A2" s="215" t="inlineStr">
        <is>
          <t>Sensing Category</t>
        </is>
      </c>
      <c r="B2" s="216" t="inlineStr">
        <is>
          <t># Papers (H)</t>
        </is>
      </c>
      <c r="C2" s="216" t="inlineStr">
        <is>
          <t># Papers (M)</t>
        </is>
      </c>
      <c r="D2" s="216" t="inlineStr">
        <is>
          <t># Papers (L)</t>
        </is>
      </c>
      <c r="E2" s="216" t="inlineStr">
        <is>
          <t>TOTAL</t>
        </is>
      </c>
      <c r="F2" s="217" t="inlineStr">
        <is>
          <t>FFT/Spectral</t>
        </is>
      </c>
      <c r="G2" s="217" t="inlineStr">
        <is>
          <t>Wavelet/CWT</t>
        </is>
      </c>
      <c r="H2" s="217" t="inlineStr">
        <is>
          <t>Envelope</t>
        </is>
      </c>
      <c r="I2" s="217" t="inlineStr">
        <is>
          <t>Classical ML</t>
        </is>
      </c>
      <c r="J2" s="217" t="inlineStr">
        <is>
          <t>CNN</t>
        </is>
      </c>
      <c r="K2" s="217" t="inlineStr">
        <is>
          <t>LSTM/RNN</t>
        </is>
      </c>
    </row>
    <row r="3" ht="18" customHeight="1" s="109">
      <c r="A3" s="218" t="inlineStr">
        <is>
          <t>Ultrasonic</t>
        </is>
      </c>
      <c r="B3" s="219" t="n">
        <v>14</v>
      </c>
      <c r="C3" s="219" t="n">
        <v>3</v>
      </c>
      <c r="D3" s="219" t="n">
        <v>0</v>
      </c>
      <c r="E3" s="219" t="n">
        <v>17</v>
      </c>
      <c r="F3" s="219" t="n">
        <v>17</v>
      </c>
      <c r="G3" s="219" t="n">
        <v>2</v>
      </c>
      <c r="H3" s="219" t="n">
        <v>1</v>
      </c>
      <c r="I3" s="219" t="n">
        <v>2</v>
      </c>
      <c r="J3" s="219" t="n">
        <v>0</v>
      </c>
      <c r="K3" s="219" t="n">
        <v>0</v>
      </c>
    </row>
    <row r="4" ht="18" customHeight="1" s="109">
      <c r="A4" s="220" t="inlineStr">
        <is>
          <t>Impedance/Capacitance</t>
        </is>
      </c>
      <c r="B4" s="221" t="n">
        <v>14</v>
      </c>
      <c r="C4" s="221" t="n">
        <v>1</v>
      </c>
      <c r="D4" s="221" t="n">
        <v>0</v>
      </c>
      <c r="E4" s="221" t="n">
        <v>15</v>
      </c>
      <c r="F4" s="221" t="n">
        <v>6</v>
      </c>
      <c r="G4" s="221" t="n">
        <v>0</v>
      </c>
      <c r="H4" s="221" t="n">
        <v>0</v>
      </c>
      <c r="I4" s="221" t="n">
        <v>1</v>
      </c>
      <c r="J4" s="221" t="n">
        <v>0</v>
      </c>
      <c r="K4" s="221" t="n">
        <v>0</v>
      </c>
    </row>
    <row r="5" ht="18" customHeight="1" s="109">
      <c r="A5" s="222" t="inlineStr">
        <is>
          <t>Acoustic Emission</t>
        </is>
      </c>
      <c r="B5" s="223" t="n">
        <v>9</v>
      </c>
      <c r="C5" s="223" t="n">
        <v>3</v>
      </c>
      <c r="D5" s="223" t="n">
        <v>0</v>
      </c>
      <c r="E5" s="223" t="n">
        <v>12</v>
      </c>
      <c r="F5" s="223" t="n">
        <v>8</v>
      </c>
      <c r="G5" s="223" t="n">
        <v>4</v>
      </c>
      <c r="H5" s="223" t="n">
        <v>2</v>
      </c>
      <c r="I5" s="223" t="n">
        <v>1</v>
      </c>
      <c r="J5" s="223" t="n">
        <v>1</v>
      </c>
      <c r="K5" s="223" t="n">
        <v>0</v>
      </c>
    </row>
    <row r="6" ht="18" customHeight="1" s="109">
      <c r="A6" s="224" t="inlineStr">
        <is>
          <t>Vibration</t>
        </is>
      </c>
      <c r="B6" s="225" t="n">
        <v>9</v>
      </c>
      <c r="C6" s="225" t="n">
        <v>4</v>
      </c>
      <c r="D6" s="225" t="n">
        <v>16</v>
      </c>
      <c r="E6" s="225" t="n">
        <v>29</v>
      </c>
      <c r="F6" s="225" t="n">
        <v>26</v>
      </c>
      <c r="G6" s="225" t="n">
        <v>12</v>
      </c>
      <c r="H6" s="225" t="n">
        <v>8</v>
      </c>
      <c r="I6" s="225" t="n">
        <v>9</v>
      </c>
      <c r="J6" s="225" t="n">
        <v>8</v>
      </c>
      <c r="K6" s="225" t="n">
        <v>5</v>
      </c>
    </row>
    <row r="7" ht="18" customHeight="1" s="109">
      <c r="A7" s="226" t="inlineStr">
        <is>
          <t>Oil/Debris Analysis</t>
        </is>
      </c>
      <c r="B7" s="227" t="n">
        <v>8</v>
      </c>
      <c r="C7" s="227" t="n">
        <v>0</v>
      </c>
      <c r="D7" s="227" t="n">
        <v>0</v>
      </c>
      <c r="E7" s="227" t="n">
        <v>8</v>
      </c>
      <c r="F7" s="227" t="n">
        <v>6</v>
      </c>
      <c r="G7" s="227" t="n">
        <v>2</v>
      </c>
      <c r="H7" s="227" t="n">
        <v>0</v>
      </c>
      <c r="I7" s="227" t="n">
        <v>4</v>
      </c>
      <c r="J7" s="227" t="n">
        <v>1</v>
      </c>
      <c r="K7" s="227" t="n">
        <v>0</v>
      </c>
    </row>
    <row r="8" ht="18" customHeight="1" s="109">
      <c r="A8" s="228" t="inlineStr">
        <is>
          <t>Thermal/IR</t>
        </is>
      </c>
      <c r="B8" s="229" t="n">
        <v>6</v>
      </c>
      <c r="C8" s="229" t="n">
        <v>4</v>
      </c>
      <c r="D8" s="229" t="n">
        <v>0</v>
      </c>
      <c r="E8" s="229" t="n">
        <v>10</v>
      </c>
      <c r="F8" s="229" t="n">
        <v>0</v>
      </c>
      <c r="G8" s="229" t="n">
        <v>0</v>
      </c>
      <c r="H8" s="229" t="n">
        <v>0</v>
      </c>
      <c r="I8" s="229" t="n">
        <v>1</v>
      </c>
      <c r="J8" s="229" t="n">
        <v>1</v>
      </c>
      <c r="K8" s="229" t="n">
        <v>1</v>
      </c>
    </row>
    <row r="9" ht="18" customHeight="1" s="109">
      <c r="A9" s="230" t="inlineStr">
        <is>
          <t>Optical/Profilometry</t>
        </is>
      </c>
      <c r="B9" s="231" t="n">
        <v>1</v>
      </c>
      <c r="C9" s="231" t="n">
        <v>0</v>
      </c>
      <c r="D9" s="231" t="n">
        <v>0</v>
      </c>
      <c r="E9" s="231" t="n">
        <v>1</v>
      </c>
      <c r="F9" s="231" t="n">
        <v>0</v>
      </c>
      <c r="G9" s="231" t="n">
        <v>0</v>
      </c>
      <c r="H9" s="231" t="n">
        <v>0</v>
      </c>
      <c r="I9" s="231" t="n">
        <v>0</v>
      </c>
      <c r="J9" s="231" t="n">
        <v>0</v>
      </c>
      <c r="K9" s="231" t="n">
        <v>0</v>
      </c>
    </row>
    <row r="10" ht="18" customHeight="1" s="109">
      <c r="A10" s="232" t="inlineStr">
        <is>
          <t>Multi-sensor</t>
        </is>
      </c>
      <c r="B10" s="233" t="n">
        <v>1</v>
      </c>
      <c r="C10" s="233" t="n">
        <v>3</v>
      </c>
      <c r="D10" s="233" t="n">
        <v>6</v>
      </c>
      <c r="E10" s="233" t="n">
        <v>10</v>
      </c>
      <c r="F10" s="233" t="n">
        <v>9</v>
      </c>
      <c r="G10" s="233" t="n">
        <v>8</v>
      </c>
      <c r="H10" s="233" t="n">
        <v>6</v>
      </c>
      <c r="I10" s="233" t="n">
        <v>8</v>
      </c>
      <c r="J10" s="233" t="n">
        <v>6</v>
      </c>
      <c r="K10" s="233" t="n">
        <v>4</v>
      </c>
    </row>
    <row r="11" ht="18" customHeight="1" s="109">
      <c r="A11" s="234" t="inlineStr">
        <is>
          <t>Other / Modelling</t>
        </is>
      </c>
      <c r="B11" s="235" t="n">
        <v>2</v>
      </c>
      <c r="C11" s="235" t="n">
        <v>5</v>
      </c>
      <c r="D11" s="235" t="n">
        <v>0</v>
      </c>
      <c r="E11" s="235" t="n">
        <v>7</v>
      </c>
      <c r="F11" s="235" t="n">
        <v>1</v>
      </c>
      <c r="G11" s="235" t="n">
        <v>1</v>
      </c>
      <c r="H11" s="235" t="n">
        <v>1</v>
      </c>
      <c r="I11" s="235" t="n">
        <v>0</v>
      </c>
      <c r="J11" s="235" t="n">
        <v>0</v>
      </c>
      <c r="K11" s="235" t="n">
        <v>0</v>
      </c>
    </row>
    <row r="12" ht="18" customHeight="1" s="109">
      <c r="A12" s="236" t="inlineStr">
        <is>
          <t>TOTAL</t>
        </is>
      </c>
      <c r="B12" s="237">
        <f>SUM(B3:B11)</f>
        <v/>
      </c>
      <c r="C12" s="237">
        <f>SUM(C3:C11)</f>
        <v/>
      </c>
      <c r="D12" s="237">
        <f>SUM(D3:D11)</f>
        <v/>
      </c>
      <c r="E12" s="237">
        <f>SUM(E3:E11)</f>
        <v/>
      </c>
      <c r="F12" s="237">
        <f>SUM(F3:F11)</f>
        <v/>
      </c>
      <c r="G12" s="237">
        <f>SUM(G3:G11)</f>
        <v/>
      </c>
      <c r="H12" s="237">
        <f>SUM(H3:H11)</f>
        <v/>
      </c>
      <c r="I12" s="237">
        <f>SUM(I3:I11)</f>
        <v/>
      </c>
      <c r="J12" s="237">
        <f>SUM(J3:J11)</f>
        <v/>
      </c>
      <c r="K12" s="237">
        <f>SUM(K3:K11)</f>
        <v/>
      </c>
    </row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2026-03-20T20:49:52Z</dcterms:created>
  <dcterms:modified xmlns:dcterms="http://purl.org/dc/terms/" xmlns:xsi="http://www.w3.org/2001/XMLSchema-instance" xsi:type="dcterms:W3CDTF">2026-05-29T13:41:31Z</dcterms:modified>
  <cp:revision>0</cp:revision>
</cp:coreProperties>
</file>